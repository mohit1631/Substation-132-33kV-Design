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Transformer" sheetId="3" state="visible" r:id="rId5"/>
    <sheet name="ShortCircuit" sheetId="4" state="visible" r:id="rId6"/>
    <sheet name="Equipment" sheetId="5" state="visible" r:id="rId7"/>
    <sheet name="Protection" sheetId="6" state="visible" r:id="rId8"/>
    <sheet name="Earthing" sheetId="7" state="visible" r:id="rId9"/>
    <sheet name="BOM" sheetId="8" state="visible" r:id="rId10"/>
    <sheet name="St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<sst xmlns="http://schemas.openxmlformats.org/spreadsheetml/2006/main" count="617" uniqueCount="424">
  <si>
    <t xml:space="preserve">132/33 kV substation: design summary</t>
  </si>
  <si>
    <t xml:space="preserve">Links to the calculation sheets. Change Inputs to resize.</t>
  </si>
  <si>
    <t xml:space="preserve">Item</t>
  </si>
  <si>
    <t xml:space="preserve">Result</t>
  </si>
  <si>
    <t xml:space="preserve">Unit</t>
  </si>
  <si>
    <t xml:space="preserve">Design load (N-1, with growth)</t>
  </si>
  <si>
    <t xml:space="preserve">MVA</t>
  </si>
  <si>
    <t xml:space="preserve">Transformers</t>
  </si>
  <si>
    <t xml:space="preserve">Transformer loading, normal / N-1 now / N-1 design</t>
  </si>
  <si>
    <t xml:space="preserve">Rated current 132 kV / 33 kV</t>
  </si>
  <si>
    <t xml:space="preserve">Fault level 132 kV bus</t>
  </si>
  <si>
    <t xml:space="preserve">kA</t>
  </si>
  <si>
    <t xml:space="preserve">Fault level 33 kV bus (coupler closed / open)</t>
  </si>
  <si>
    <t xml:space="preserve">Breaker ratings 132 kV / 33 kV</t>
  </si>
  <si>
    <t xml:space="preserve">Busbars 132 kV / 33 kV</t>
  </si>
  <si>
    <t xml:space="preserve">A</t>
  </si>
  <si>
    <t xml:space="preserve">CT ratios: line / transformer HV / incomer / feeder</t>
  </si>
  <si>
    <t xml:space="preserve">A / 1 A</t>
  </si>
  <si>
    <t xml:space="preserve">Arresters 132 kV / 33 kV</t>
  </si>
  <si>
    <t xml:space="preserve">kV</t>
  </si>
  <si>
    <t xml:space="preserve">NGR</t>
  </si>
  <si>
    <t xml:space="preserve">Earth grid resistance</t>
  </si>
  <si>
    <t xml:space="preserve">ohm</t>
  </si>
  <si>
    <t xml:space="preserve">Ground potential rise</t>
  </si>
  <si>
    <t xml:space="preserve">V</t>
  </si>
  <si>
    <t xml:space="preserve">Touch voltage: Em vs tolerable</t>
  </si>
  <si>
    <t xml:space="preserve">Design checks</t>
  </si>
  <si>
    <t xml:space="preserve">Check</t>
  </si>
  <si>
    <t xml:space="preserve">Status</t>
  </si>
  <si>
    <t xml:space="preserve">Transformer N-1 loading at design load &lt;= 100%</t>
  </si>
  <si>
    <t xml:space="preserve">Breaker rating &gt;= 132 kV fault level</t>
  </si>
  <si>
    <t xml:space="preserve">Breaker rating &gt;= 33 kV fault level</t>
  </si>
  <si>
    <t xml:space="preserve">Hand calculation within 5% of pandapower (33 kV)</t>
  </si>
  <si>
    <t xml:space="preserve">CT burden / VT burden</t>
  </si>
  <si>
    <t xml:space="preserve">OC grading margins &gt;= 0.3 s</t>
  </si>
  <si>
    <t xml:space="preserve">Transformer thermal withstand</t>
  </si>
  <si>
    <t xml:space="preserve">Earth-fault grading</t>
  </si>
  <si>
    <t xml:space="preserve">Earthing: touch voltage</t>
  </si>
  <si>
    <t xml:space="preserve">Earthing: step voltage</t>
  </si>
  <si>
    <t xml:space="preserve">Earthing: grid resistance &lt;= 1 ohm</t>
  </si>
  <si>
    <t xml:space="preserve">Overall</t>
  </si>
  <si>
    <t xml:space="preserve">Legend: blue on yellow = input; black = formula; green = link. Grid fault levels, soil resistivity and line data are assumptions.</t>
  </si>
  <si>
    <t xml:space="preserve">Inputs and design basis: 132/33 kV substation</t>
  </si>
  <si>
    <t xml:space="preserve">Blue on yellow = editable input. Sheets recalculate from here.</t>
  </si>
  <si>
    <t xml:space="preserve">Parameter</t>
  </si>
  <si>
    <t xml:space="preserve">Value</t>
  </si>
  <si>
    <t xml:space="preserve">Source / remark</t>
  </si>
  <si>
    <t xml:space="preserve">1. System</t>
  </si>
  <si>
    <t xml:space="preserve">HV nominal voltage</t>
  </si>
  <si>
    <t xml:space="preserve">Transmission-level supply</t>
  </si>
  <si>
    <t xml:space="preserve">HV highest system voltage Um</t>
  </si>
  <si>
    <t xml:space="preserve">IEC 60038 / IEC 60071</t>
  </si>
  <si>
    <t xml:space="preserve">LV nominal voltage</t>
  </si>
  <si>
    <t xml:space="preserve">LV highest system voltage Um</t>
  </si>
  <si>
    <t xml:space="preserve">Frequency</t>
  </si>
  <si>
    <t xml:space="preserve">Hz</t>
  </si>
  <si>
    <t xml:space="preserve">Grid short-circuit level at 132 kV, maximum (Sk'')</t>
  </si>
  <si>
    <t xml:space="preserve">ASSUMPTION (17.5 kA). Obtain from the transmission utility</t>
  </si>
  <si>
    <t xml:space="preserve">Grid short-circuit level at 132 kV, minimum</t>
  </si>
  <si>
    <t xml:space="preserve">ASSUMPTION (10.9 kA)</t>
  </si>
  <si>
    <t xml:space="preserve">IEC 60909 voltage factor c (max)</t>
  </si>
  <si>
    <t xml:space="preserve">-</t>
  </si>
  <si>
    <t xml:space="preserve">HV system: 1.10</t>
  </si>
  <si>
    <t xml:space="preserve">2. Load</t>
  </si>
  <si>
    <t xml:space="preserve">Number of 33 kV outgoing feeders</t>
  </si>
  <si>
    <t xml:space="preserve">nos</t>
  </si>
  <si>
    <t xml:space="preserve">3 on each bus section</t>
  </si>
  <si>
    <t xml:space="preserve">Design load per feeder</t>
  </si>
  <si>
    <t xml:space="preserve">Typical 33/11 kV substation feed</t>
  </si>
  <si>
    <t xml:space="preserve">Diversity factor</t>
  </si>
  <si>
    <t xml:space="preserve">Future growth margin</t>
  </si>
  <si>
    <t xml:space="preserve">3. Transformer</t>
  </si>
  <si>
    <t xml:space="preserve">Number of transformers</t>
  </si>
  <si>
    <t xml:space="preserve">N-1: either one must carry the full design load</t>
  </si>
  <si>
    <t xml:space="preserve">Transformer impedance</t>
  </si>
  <si>
    <t xml:space="preserve">%</t>
  </si>
  <si>
    <t xml:space="preserve">IS 2026 typical for 50 MVA 132/33 kV</t>
  </si>
  <si>
    <t xml:space="preserve">OLTC range (HV side)</t>
  </si>
  <si>
    <t xml:space="preserve">+/- %</t>
  </si>
  <si>
    <t xml:space="preserve">16 steps of 1.25%</t>
  </si>
  <si>
    <t xml:space="preserve">Load loss at rated MVA</t>
  </si>
  <si>
    <t xml:space="preserve">kW</t>
  </si>
  <si>
    <t xml:space="preserve">ASSUMPTION</t>
  </si>
  <si>
    <t xml:space="preserve">No-load loss</t>
  </si>
  <si>
    <t xml:space="preserve">33 kV neutral earthing: earth-fault current limit</t>
  </si>
  <si>
    <t xml:space="preserve">Resistance earthing through earthing transformer</t>
  </si>
  <si>
    <t xml:space="preserve">NGR / earthing transformer short-time rating</t>
  </si>
  <si>
    <t xml:space="preserve">s</t>
  </si>
  <si>
    <t xml:space="preserve">4. Equipment design</t>
  </si>
  <si>
    <t xml:space="preserve">Utility minimum standard breaking rating, 132 kV</t>
  </si>
  <si>
    <t xml:space="preserve">Common utility practice</t>
  </si>
  <si>
    <t xml:space="preserve">Utility minimum standard breaking rating, 33 kV</t>
  </si>
  <si>
    <t xml:space="preserve">Peak factor kappa (ip = kappa x sqrt2 x Ik'')</t>
  </si>
  <si>
    <t xml:space="preserve">Use 1.8 for HV (X/R high)</t>
  </si>
  <si>
    <t xml:space="preserve">Future transformer bays</t>
  </si>
  <si>
    <t xml:space="preserve">132 kV bus is sized for these</t>
  </si>
  <si>
    <t xml:space="preserve">Busbar design margin</t>
  </si>
  <si>
    <t xml:space="preserve">CT primary margin over rated current</t>
  </si>
  <si>
    <t xml:space="preserve">Transformer sizing, ratings and earthing</t>
  </si>
  <si>
    <t xml:space="preserve">One 132/33 kV transformer. N-1 means one unit must carry the full 33 kV load.</t>
  </si>
  <si>
    <t xml:space="preserve">Load and rating</t>
  </si>
  <si>
    <t xml:space="preserve">Connected load</t>
  </si>
  <si>
    <t xml:space="preserve">Peak demand = connected x diversity</t>
  </si>
  <si>
    <t xml:space="preserve">Design load with growth</t>
  </si>
  <si>
    <t xml:space="preserve">Must be carried by one transformer (N-1)</t>
  </si>
  <si>
    <t xml:space="preserve">Selected transformer rating</t>
  </si>
  <si>
    <t xml:space="preserve">Next standard size (ONAF rating)</t>
  </si>
  <si>
    <t xml:space="preserve">Loading, normal (both in service, load shared)</t>
  </si>
  <si>
    <t xml:space="preserve">Loading, N-1 at present peak</t>
  </si>
  <si>
    <t xml:space="preserve">Loading, N-1 at design load (with growth)</t>
  </si>
  <si>
    <t xml:space="preserve">Should stay at or below 100%</t>
  </si>
  <si>
    <t xml:space="preserve">Rated current, 132 kV side</t>
  </si>
  <si>
    <t xml:space="preserve">Rated current, 33 kV side</t>
  </si>
  <si>
    <t xml:space="preserve">Feeder rated current</t>
  </si>
  <si>
    <t xml:space="preserve">Impedance and losses</t>
  </si>
  <si>
    <t xml:space="preserve">Transformer impedance, pu on own rating</t>
  </si>
  <si>
    <t xml:space="preserve">pu</t>
  </si>
  <si>
    <t xml:space="preserve">IEC 60909 correction factor KT = 0.95 c / (1 + 0.6 xT)</t>
  </si>
  <si>
    <t xml:space="preserve">Copper loss as % (for load flow models)</t>
  </si>
  <si>
    <t xml:space="preserve">Neutral earthing of the 33 kV system (earthing transformer + NGR)</t>
  </si>
  <si>
    <t xml:space="preserve">33 kV phase voltage</t>
  </si>
  <si>
    <t xml:space="preserve">NGR resistance = Vph / IEF</t>
  </si>
  <si>
    <t xml:space="preserve">Earthing transformer short-time rating = Vph x IEF</t>
  </si>
  <si>
    <t xml:space="preserve">kVA</t>
  </si>
  <si>
    <t xml:space="preserve">For the NGR time (10 s). Continuous rating much lower</t>
  </si>
  <si>
    <t xml:space="preserve">NGR power during fault</t>
  </si>
  <si>
    <t xml:space="preserve">MW</t>
  </si>
  <si>
    <t xml:space="preserve">Voltage regulation</t>
  </si>
  <si>
    <t xml:space="preserve">OLTC step</t>
  </si>
  <si>
    <t xml:space="preserve">16 steps total</t>
  </si>
  <si>
    <t xml:space="preserve">Short-circuit calculation (IEC 60909, per-unit on transformer MVA)</t>
  </si>
  <si>
    <t xml:space="preserve">Grid Sk'' already includes c. Z in pu. Cross-checked with pandapower below. Peak and breaker ratings follow.</t>
  </si>
  <si>
    <t xml:space="preserve">Per-unit impedances (base = transformer MVA)</t>
  </si>
  <si>
    <t xml:space="preserve">Grid impedance at max level = c x MVA_base / Sk''</t>
  </si>
  <si>
    <t xml:space="preserve">Grid impedance at min level = MVA_base / Sk''</t>
  </si>
  <si>
    <t xml:space="preserve">Transformer impedance with KT</t>
  </si>
  <si>
    <t xml:space="preserve">Fault levels</t>
  </si>
  <si>
    <t xml:space="preserve">Ik'' at 132 kV bus (max)</t>
  </si>
  <si>
    <t xml:space="preserve">Sk'' / (sqrt3 x Un)</t>
  </si>
  <si>
    <t xml:space="preserve">Ik'' at 132 kV bus (min)</t>
  </si>
  <si>
    <t xml:space="preserve">Ik'' at 33 kV bus, coupler closed, both transformers (max)</t>
  </si>
  <si>
    <t xml:space="preserve">Ik'' at 33 kV bus, coupler open or one transformer (max)</t>
  </si>
  <si>
    <t xml:space="preserve">Ik'' at 33 kV bus, coupler open (min)</t>
  </si>
  <si>
    <t xml:space="preserve">c = 1.0 for minimum case</t>
  </si>
  <si>
    <t xml:space="preserve">Peak current ip at 132 kV</t>
  </si>
  <si>
    <t xml:space="preserve">Peak current ip at 33 kV (coupler closed)</t>
  </si>
  <si>
    <t xml:space="preserve">Breaker and busbar rating (smallest standard value, not below utility minimum)</t>
  </si>
  <si>
    <t xml:space="preserve">132 kV equipment short-circuit rating (3 s)</t>
  </si>
  <si>
    <t xml:space="preserve">33 kV equipment short-circuit rating (3 s)</t>
  </si>
  <si>
    <t xml:space="preserve">Utilisation 132 kV (Ik'' / rating)</t>
  </si>
  <si>
    <t xml:space="preserve">Utilisation 33 kV (Ik'' / rating)</t>
  </si>
  <si>
    <t xml:space="preserve">Making capacity 132 kV (2.5 x rating)</t>
  </si>
  <si>
    <t xml:space="preserve">kA peak</t>
  </si>
  <si>
    <t xml:space="preserve">Making capacity 33 kV (2.5 x rating)</t>
  </si>
  <si>
    <t xml:space="preserve">Check with pandapower (IEC 60909 solver, see notebook)</t>
  </si>
  <si>
    <t xml:space="preserve">pandapower: 132 kV bus max</t>
  </si>
  <si>
    <t xml:space="preserve">Static value from the study run</t>
  </si>
  <si>
    <t xml:space="preserve">pandapower: 33 kV bus, coupler closed, max</t>
  </si>
  <si>
    <t xml:space="preserve">pandapower: 33 kV bus, coupler open, max</t>
  </si>
  <si>
    <t xml:space="preserve">pandapower: 33 kV bus, coupler open, min</t>
  </si>
  <si>
    <t xml:space="preserve">Difference hand vs pandapower, 33 kV closed</t>
  </si>
  <si>
    <t xml:space="preserve">Difference hand vs pandapower, 33 kV open</t>
  </si>
  <si>
    <t xml:space="preserve">Single-line-to-ground at 132 kV bus (pandapower, with transformer zero-sequence)</t>
  </si>
  <si>
    <t xml:space="preserve">Used for earthing design</t>
  </si>
  <si>
    <t xml:space="preserve">33 kV earth-fault current (limited by NGR)</t>
  </si>
  <si>
    <t xml:space="preserve">Equipment ratings (per bay type)</t>
  </si>
  <si>
    <t xml:space="preserve">Current ratings from transformer and feeder data. Insulation levels per IEC 60071 (Um 145 kV: 650/275 kV; Um 36 kV: 170/70 kV).</t>
  </si>
  <si>
    <t xml:space="preserve">Busbars</t>
  </si>
  <si>
    <t xml:space="preserve">132 kV busbar current rating = (transformers + future) x I_hv x margin</t>
  </si>
  <si>
    <t xml:space="preserve">Tubular aluminium busbar</t>
  </si>
  <si>
    <t xml:space="preserve">33 kV busbar current rating = I_lv x margin</t>
  </si>
  <si>
    <t xml:space="preserve">Circuit breakers</t>
  </si>
  <si>
    <t xml:space="preserve">132 kV line / bus-section breaker current</t>
  </si>
  <si>
    <t xml:space="preserve">Line carries both transformers</t>
  </si>
  <si>
    <t xml:space="preserve">132 kV transformer breaker current</t>
  </si>
  <si>
    <t xml:space="preserve">Smallest 132 kV standard is 1250 A</t>
  </si>
  <si>
    <t xml:space="preserve">33 kV incomer / coupler breaker current</t>
  </si>
  <si>
    <t xml:space="preserve">33 kV feeder breaker current</t>
  </si>
  <si>
    <t xml:space="preserve">132 kV breaker short-circuit rating</t>
  </si>
  <si>
    <t xml:space="preserve">SF6, 3 s</t>
  </si>
  <si>
    <t xml:space="preserve">33 kV breaker short-circuit rating</t>
  </si>
  <si>
    <t xml:space="preserve">Vacuum, 3 s</t>
  </si>
  <si>
    <t xml:space="preserve">Insulation and arresters</t>
  </si>
  <si>
    <t xml:space="preserve">132 kV lightning impulse withstand (LIWL)</t>
  </si>
  <si>
    <t xml:space="preserve">IEC 60071-1 for Um 145 kV</t>
  </si>
  <si>
    <t xml:space="preserve">132 kV power-frequency withstand (1 min)</t>
  </si>
  <si>
    <t xml:space="preserve">33 kV lightning impulse withstand (LIWL)</t>
  </si>
  <si>
    <t xml:space="preserve">IEC 60071-1 for Um 36 kV</t>
  </si>
  <si>
    <t xml:space="preserve">33 kV power-frequency withstand (1 min)</t>
  </si>
  <si>
    <t xml:space="preserve">132 kV arrester rated voltage = 0.8 x Um (effectively earthed)</t>
  </si>
  <si>
    <t xml:space="preserve">Next multiple of 6: 120 kV</t>
  </si>
  <si>
    <t xml:space="preserve">33 kV arrester rated voltage = Um (resistance earthed, not effectively earthed)</t>
  </si>
  <si>
    <t xml:space="preserve">36 kV</t>
  </si>
  <si>
    <t xml:space="preserve">Current transformers (secondary 1 A at 132 kV and 33 kV)</t>
  </si>
  <si>
    <t xml:space="preserve">CT ratio, 132 kV line bay and bus section</t>
  </si>
  <si>
    <t xml:space="preserve">CT ratio, transformer HV bay</t>
  </si>
  <si>
    <t xml:space="preserve">CT ratio, 33 kV incomer and bus coupler</t>
  </si>
  <si>
    <t xml:space="preserve">CT ratio, 33 kV feeder</t>
  </si>
  <si>
    <t xml:space="preserve">CT ratio, earthing transformer neutral</t>
  </si>
  <si>
    <t xml:space="preserve">CT short-time current (3 s)</t>
  </si>
  <si>
    <t xml:space="preserve">same as breaker (132 kV); 33 kV CTs use the 33 kV rating</t>
  </si>
  <si>
    <t xml:space="preserve">CT knee-point voltage for the transformer differential (HV side)</t>
  </si>
  <si>
    <t xml:space="preserve">CT secondary resistance Rct</t>
  </si>
  <si>
    <t xml:space="preserve">Typical 1 A PS class</t>
  </si>
  <si>
    <t xml:space="preserve">Lead resistance (loop)</t>
  </si>
  <si>
    <t xml:space="preserve">About 150 m of 2.5 mm² each way</t>
  </si>
  <si>
    <t xml:space="preserve">Relay burden</t>
  </si>
  <si>
    <t xml:space="preserve">Numerical relay</t>
  </si>
  <si>
    <t xml:space="preserve">Through-fault current at HV side (33 kV fault, closed coupler)</t>
  </si>
  <si>
    <t xml:space="preserve">Maximum external fault referred to HV</t>
  </si>
  <si>
    <t xml:space="preserve">Secondary current at that fault</t>
  </si>
  <si>
    <t xml:space="preserve">Required Vk = 2 x Is x (Rct + RL + Rr)</t>
  </si>
  <si>
    <t xml:space="preserve">K = 2 stability factor</t>
  </si>
  <si>
    <t xml:space="preserve">Selected standard Vk</t>
  </si>
  <si>
    <t xml:space="preserve">Specify class PS</t>
  </si>
  <si>
    <t xml:space="preserve">Voltage transformers</t>
  </si>
  <si>
    <t xml:space="preserve">CVT metering core (0.2) burden rating</t>
  </si>
  <si>
    <t xml:space="preserve">VA</t>
  </si>
  <si>
    <t xml:space="preserve">132 kV</t>
  </si>
  <si>
    <t xml:space="preserve">CVT protection core (3P) burden rating</t>
  </si>
  <si>
    <t xml:space="preserve">Metering core connected burden (meters 8 VA + transducers 6 VA + cable 2 VA)</t>
  </si>
  <si>
    <t xml:space="preserve">Should be 25-100% of rating</t>
  </si>
  <si>
    <t xml:space="preserve">Protection core connected burden (relays 10 VA + sync 5 VA + cable 15 VA)</t>
  </si>
  <si>
    <t xml:space="preserve">Metering core utilisation</t>
  </si>
  <si>
    <t xml:space="preserve">Protection core utilisation</t>
  </si>
  <si>
    <t xml:space="preserve">Burden check (25% to 100%)</t>
  </si>
  <si>
    <t xml:space="preserve">Protection settings and grading</t>
  </si>
  <si>
    <t xml:space="preserve">IEC Normal Inverse: t = TMS x 0.14 / ((I/Is)^0.02 - 1). Settings are proposed starting values for a relay-coordination study.</t>
  </si>
  <si>
    <t xml:space="preserve">33 kV feeder (50/51, 50N/51N)</t>
  </si>
  <si>
    <t xml:space="preserve">Feeder CT primary</t>
  </si>
  <si>
    <t xml:space="preserve">From Equipment</t>
  </si>
  <si>
    <t xml:space="preserve">51 pickup</t>
  </si>
  <si>
    <t xml:space="preserve">1.25 x feeder current</t>
  </si>
  <si>
    <t xml:space="preserve">51 TMS</t>
  </si>
  <si>
    <t xml:space="preserve">50 instantaneous</t>
  </si>
  <si>
    <t xml:space="preserve">8 x CT</t>
  </si>
  <si>
    <t xml:space="preserve">33 kV incomer (51)</t>
  </si>
  <si>
    <t xml:space="preserve">1.2 x rated</t>
  </si>
  <si>
    <t xml:space="preserve">132 kV transformer backup (51)</t>
  </si>
  <si>
    <t xml:space="preserve">51 pickup = 1.2 x rated, rounded up to 10 A</t>
  </si>
  <si>
    <t xml:space="preserve">50 instantaneous = 1.3 x max 33 kV fault referred to HV</t>
  </si>
  <si>
    <t xml:space="preserve">Must not operate for 33 kV faults</t>
  </si>
  <si>
    <t xml:space="preserve">Grading at 33 kV bus faults (feeder IDMT only; incomers carry half when coupler closed)</t>
  </si>
  <si>
    <t xml:space="preserve">Fault current: max, coupler closed</t>
  </si>
  <si>
    <t xml:space="preserve">Fault current: one transformer in service (N-1)</t>
  </si>
  <si>
    <t xml:space="preserve">Fault current: min, coupler open</t>
  </si>
  <si>
    <t xml:space="preserve">Feeder time, max</t>
  </si>
  <si>
    <t xml:space="preserve">Incomer time, max</t>
  </si>
  <si>
    <t xml:space="preserve">Half of the fault current</t>
  </si>
  <si>
    <t xml:space="preserve">HV 51 time, max</t>
  </si>
  <si>
    <t xml:space="preserve">Margin incomer over feeder, max</t>
  </si>
  <si>
    <t xml:space="preserve">Need at least 0.3 s</t>
  </si>
  <si>
    <t xml:space="preserve">Margin HV over incomer, max</t>
  </si>
  <si>
    <t xml:space="preserve">Feeder time, N-1</t>
  </si>
  <si>
    <t xml:space="preserve">Incomer time, N-1</t>
  </si>
  <si>
    <t xml:space="preserve">HV 51 time, N-1</t>
  </si>
  <si>
    <t xml:space="preserve">Margin incomer over feeder, N-1</t>
  </si>
  <si>
    <t xml:space="preserve">Margin HV over incomer, N-1</t>
  </si>
  <si>
    <t xml:space="preserve">Grading check (all margins &gt;= 0.3 s)</t>
  </si>
  <si>
    <t xml:space="preserve">N-1 through-fault current in per unit of rated</t>
  </si>
  <si>
    <t xml:space="preserve">IEC 60076-5 allows 2 s at 1/Z</t>
  </si>
  <si>
    <t xml:space="preserve">Relay clearing time at that fault</t>
  </si>
  <si>
    <t xml:space="preserve">Must be below 2 s</t>
  </si>
  <si>
    <t xml:space="preserve">Thermal withstand check</t>
  </si>
  <si>
    <t xml:space="preserve">33 kV earth fault (NGR-limited)</t>
  </si>
  <si>
    <t xml:space="preserve">Feeder 51N pickup</t>
  </si>
  <si>
    <t xml:space="preserve">10% of NGR current</t>
  </si>
  <si>
    <t xml:space="preserve">Feeder 51N TMS</t>
  </si>
  <si>
    <t xml:space="preserve">Neutral (earthing transformer) 51N pickup</t>
  </si>
  <si>
    <t xml:space="preserve">20% of NGR current</t>
  </si>
  <si>
    <t xml:space="preserve">Neutral 51N TMS</t>
  </si>
  <si>
    <t xml:space="preserve">Feeder 51N time at NGR current</t>
  </si>
  <si>
    <t xml:space="preserve">Neutral 51N time at NGR current</t>
  </si>
  <si>
    <t xml:space="preserve">Margin</t>
  </si>
  <si>
    <t xml:space="preserve">Earth-fault grading check</t>
  </si>
  <si>
    <t xml:space="preserve">Transformer differential (87T, numerical relay)</t>
  </si>
  <si>
    <t xml:space="preserve">HV secondary current at rated load</t>
  </si>
  <si>
    <t xml:space="preserve">LV secondary current at rated load</t>
  </si>
  <si>
    <t xml:space="preserve">CT mismatch ratio</t>
  </si>
  <si>
    <t xml:space="preserve">Close to 1.0: relay ratio compensation is small</t>
  </si>
  <si>
    <t xml:space="preserve">Minimum pickup (pu of rated)</t>
  </si>
  <si>
    <t xml:space="preserve">Slope 1 (up to 2 pu)</t>
  </si>
  <si>
    <t xml:space="preserve">Slope 2</t>
  </si>
  <si>
    <t xml:space="preserve">2nd harmonic restraint (inrush)</t>
  </si>
  <si>
    <t xml:space="preserve">5th harmonic restraint (over-excitation)</t>
  </si>
  <si>
    <t xml:space="preserve">Unrestrained high-set</t>
  </si>
  <si>
    <t xml:space="preserve">Above inrush peak not blocked by harmonics</t>
  </si>
  <si>
    <t xml:space="preserve">Line distance protection (21) example: 30 km line, 20 km adjacent line</t>
  </si>
  <si>
    <t xml:space="preserve">Line positive-sequence resistance</t>
  </si>
  <si>
    <t xml:space="preserve">ohm/km</t>
  </si>
  <si>
    <t xml:space="preserve">ACSR Panther assumption</t>
  </si>
  <si>
    <t xml:space="preserve">Line positive-sequence reactance</t>
  </si>
  <si>
    <t xml:space="preserve">Protected line length</t>
  </si>
  <si>
    <t xml:space="preserve">km</t>
  </si>
  <si>
    <t xml:space="preserve">Adjacent line length</t>
  </si>
  <si>
    <t xml:space="preserve">Protected line impedance (primary)</t>
  </si>
  <si>
    <t xml:space="preserve">Adjacent line impedance (primary)</t>
  </si>
  <si>
    <t xml:space="preserve">Primary-to-secondary factor = CT ratio / VT ratio</t>
  </si>
  <si>
    <t xml:space="preserve">Zone 1 reach, 80% (instantaneous)</t>
  </si>
  <si>
    <t xml:space="preserve">ohm sec</t>
  </si>
  <si>
    <t xml:space="preserve">Zone 2 reach, 120% of line (0.35 s)</t>
  </si>
  <si>
    <t xml:space="preserve">Zone 3 reach, line + 120% adjacent (0.8 s)</t>
  </si>
  <si>
    <t xml:space="preserve">High-impedance busbar protection (87B), 132 kV</t>
  </si>
  <si>
    <t xml:space="preserve">Maximum through-fault current</t>
  </si>
  <si>
    <t xml:space="preserve">Secondary current</t>
  </si>
  <si>
    <t xml:space="preserve">CT Rct</t>
  </si>
  <si>
    <t xml:space="preserve">Stability voltage setting Vs = Is x (Rct + RL)</t>
  </si>
  <si>
    <t xml:space="preserve">Required CT knee-point voltage &gt;= 2 x Vs</t>
  </si>
  <si>
    <t xml:space="preserve">Earthing grid design (IEEE Std 80 method)</t>
  </si>
  <si>
    <t xml:space="preserve">Soil resistivity is an ASSUMPTION: a Wenner survey of the site is mandatory before construction.</t>
  </si>
  <si>
    <t xml:space="preserve">Inputs</t>
  </si>
  <si>
    <t xml:space="preserve">Grid length</t>
  </si>
  <si>
    <t xml:space="preserve">m</t>
  </si>
  <si>
    <t xml:space="preserve">Switchyard + control building area</t>
  </si>
  <si>
    <t xml:space="preserve">Grid width</t>
  </si>
  <si>
    <t xml:space="preserve">Soil resistivity</t>
  </si>
  <si>
    <t xml:space="preserve">ohm.m</t>
  </si>
  <si>
    <t xml:space="preserve">ASSUMPTION (survey needed)</t>
  </si>
  <si>
    <t xml:space="preserve">Surface layer resistivity (crushed rock)</t>
  </si>
  <si>
    <t xml:space="preserve">Surface layer thickness</t>
  </si>
  <si>
    <t xml:space="preserve">Burial depth of grid</t>
  </si>
  <si>
    <t xml:space="preserve">Maximum earth-fault current 3I0 (design value)</t>
  </si>
  <si>
    <t xml:space="preserve">Study value 18.6 kA at 132 kV bus, rounded up</t>
  </si>
  <si>
    <t xml:space="preserve">Current division factor Sf</t>
  </si>
  <si>
    <t xml:space="preserve">Share flowing into the grid; rest returns via earth wires and neutrals</t>
  </si>
  <si>
    <t xml:space="preserve">Fault clearing time</t>
  </si>
  <si>
    <t xml:space="preserve">Backup clearing time, conservative</t>
  </si>
  <si>
    <t xml:space="preserve">System X/R at fault</t>
  </si>
  <si>
    <t xml:space="preserve">Material constant Kf (steel 1020)</t>
  </si>
  <si>
    <t xml:space="preserve">IEEE 80 Table 2</t>
  </si>
  <si>
    <t xml:space="preserve">Conductor spacing</t>
  </si>
  <si>
    <t xml:space="preserve">Chosen to pass the touch-voltage check</t>
  </si>
  <si>
    <t xml:space="preserve">Number of earth rods</t>
  </si>
  <si>
    <t xml:space="preserve">On the perimeter and at corners</t>
  </si>
  <si>
    <t xml:space="preserve">Rod length</t>
  </si>
  <si>
    <t xml:space="preserve">Flat conductor width</t>
  </si>
  <si>
    <t xml:space="preserve">mm</t>
  </si>
  <si>
    <t xml:space="preserve">Flat conductor thickness</t>
  </si>
  <si>
    <t xml:space="preserve">Mild steel flat, galvanised</t>
  </si>
  <si>
    <t xml:space="preserve">Conductor</t>
  </si>
  <si>
    <t xml:space="preserve">Minimum conductor area = If x Kf x sqrt(tf) x 0.5067</t>
  </si>
  <si>
    <t xml:space="preserve">mm²</t>
  </si>
  <si>
    <t xml:space="preserve">Selected flat area</t>
  </si>
  <si>
    <t xml:space="preserve">Conductor check</t>
  </si>
  <si>
    <t xml:space="preserve">Geometry</t>
  </si>
  <si>
    <t xml:space="preserve">Area</t>
  </si>
  <si>
    <t xml:space="preserve">m²</t>
  </si>
  <si>
    <t xml:space="preserve">Conductors along width direction</t>
  </si>
  <si>
    <t xml:space="preserve">Conductors along length direction</t>
  </si>
  <si>
    <t xml:space="preserve">Total horizontal conductor length</t>
  </si>
  <si>
    <t xml:space="preserve">Perimeter</t>
  </si>
  <si>
    <t xml:space="preserve">Total rod length</t>
  </si>
  <si>
    <t xml:space="preserve">Total buried conductor length</t>
  </si>
  <si>
    <t xml:space="preserve">Equivalent conductor diameter = 2(w+t)/pi</t>
  </si>
  <si>
    <t xml:space="preserve">Resistance and potential rise</t>
  </si>
  <si>
    <t xml:space="preserve">Grid resistance Rg (Sverak)</t>
  </si>
  <si>
    <t xml:space="preserve">Target at or below 1 ohm</t>
  </si>
  <si>
    <t xml:space="preserve">DC offset time constant Ta = X/R / (2 pi f)</t>
  </si>
  <si>
    <t xml:space="preserve">Decrement factor Df</t>
  </si>
  <si>
    <t xml:space="preserve">Grid current Ig = Sf x If x Df</t>
  </si>
  <si>
    <t xml:space="preserve">Ground potential rise GPR = Ig x Rg</t>
  </si>
  <si>
    <t xml:space="preserve">Tolerable voltages (70 kg body)</t>
  </si>
  <si>
    <t xml:space="preserve">Surface layer factor Cs</t>
  </si>
  <si>
    <t xml:space="preserve">Tolerable touch voltage</t>
  </si>
  <si>
    <t xml:space="preserve">Tolerable step voltage</t>
  </si>
  <si>
    <t xml:space="preserve">Mesh and step voltage</t>
  </si>
  <si>
    <t xml:space="preserve">na = 2 Lc / Lp</t>
  </si>
  <si>
    <t xml:space="preserve">nb = sqrt(Lp / (4 sqrt(A)))</t>
  </si>
  <si>
    <t xml:space="preserve">n = na x nb (rectangular grid)</t>
  </si>
  <si>
    <t xml:space="preserve">Kh = sqrt(1 + h / 1 m)</t>
  </si>
  <si>
    <t xml:space="preserve">Km</t>
  </si>
  <si>
    <t xml:space="preserve">Kii = 1 (rods on perimeter and corners)</t>
  </si>
  <si>
    <t xml:space="preserve">Ki = 0.644 + 0.148 n</t>
  </si>
  <si>
    <t xml:space="preserve">Effective length for mesh LM</t>
  </si>
  <si>
    <t xml:space="preserve">Mesh (touch) voltage Em = rho Km Ki Ig / LM</t>
  </si>
  <si>
    <t xml:space="preserve">Ks</t>
  </si>
  <si>
    <t xml:space="preserve">Effective length for step LS = 0.75 Lc + 0.85 LR</t>
  </si>
  <si>
    <t xml:space="preserve">Step voltage Es = rho Ks Ki Ig / LS</t>
  </si>
  <si>
    <t xml:space="preserve">Checks</t>
  </si>
  <si>
    <t xml:space="preserve">Touch voltage check (Em &lt;= tolerable)</t>
  </si>
  <si>
    <t xml:space="preserve">Step voltage check (Es &lt;= tolerable)</t>
  </si>
  <si>
    <t xml:space="preserve">Grid resistance check (&lt;= 1 ohm)</t>
  </si>
  <si>
    <t xml:space="preserve">GPR above 5 kV: telecom and SCADA circuits need isolation</t>
  </si>
  <si>
    <t xml:space="preserve">Sensitivity to soil resistivity (grid as designed). Static values from the Python study.</t>
  </si>
  <si>
    <t xml:space="preserve">Soil resistivity (ohm.m)</t>
  </si>
  <si>
    <t xml:space="preserve">Rg (ohm)</t>
  </si>
  <si>
    <t xml:space="preserve">GPR (V)</t>
  </si>
  <si>
    <t xml:space="preserve">Em (V)</t>
  </si>
  <si>
    <t xml:space="preserve">Tolerable touch (V)</t>
  </si>
  <si>
    <t xml:space="preserve">Step (V)</t>
  </si>
  <si>
    <t xml:space="preserve">PASS</t>
  </si>
  <si>
    <t xml:space="preserve">FAIL</t>
  </si>
  <si>
    <t xml:space="preserve">Result: the grid passes up to about 100 ohm.m. Above about 150 ohm.m touch voltage fails: add rods, reduce spacing, or use deeper electrodes. This is why the soil survey matters.</t>
  </si>
  <si>
    <t xml:space="preserve">Major equipment list (no prices)</t>
  </si>
  <si>
    <t xml:space="preserve">Quantities from the single line diagram. Edit counts if you change the layout.</t>
  </si>
  <si>
    <t xml:space="preserve">Description</t>
  </si>
  <si>
    <t xml:space="preserve">Qty</t>
  </si>
  <si>
    <t xml:space="preserve">Power transformer</t>
  </si>
  <si>
    <t xml:space="preserve">132 kV SF6 circuit breaker</t>
  </si>
  <si>
    <t xml:space="preserve">132 kV isolator (double break), line isolators with earth switch</t>
  </si>
  <si>
    <t xml:space="preserve">132 kV CT (3 phase sets)</t>
  </si>
  <si>
    <t xml:space="preserve">132 kV capacitor voltage transformer (3 phase sets)</t>
  </si>
  <si>
    <t xml:space="preserve">132 kV surge arrester (3 phase sets)</t>
  </si>
  <si>
    <t xml:space="preserve">132 kV busbar</t>
  </si>
  <si>
    <t xml:space="preserve">33 kV vacuum circuit breaker (incomer and coupler)</t>
  </si>
  <si>
    <t xml:space="preserve">33 kV vacuum circuit breaker (feeder)</t>
  </si>
  <si>
    <t xml:space="preserve">33 kV vacuum circuit breaker (earthing transformer)</t>
  </si>
  <si>
    <t xml:space="preserve">33 kV isolator (incomers, coupler, feeders, earthing transformers, PT)</t>
  </si>
  <si>
    <t xml:space="preserve">33 kV CT sets</t>
  </si>
  <si>
    <t xml:space="preserve">33 kV voltage transformer (3 phase sets)</t>
  </si>
  <si>
    <t xml:space="preserve">33 kV surge arrester</t>
  </si>
  <si>
    <t xml:space="preserve">Earthing transformer (zig-zag) with 415 V aux winding</t>
  </si>
  <si>
    <t xml:space="preserve">Neutral earthing resistor</t>
  </si>
  <si>
    <t xml:space="preserve">Numerical protection relays (approximate count)</t>
  </si>
  <si>
    <t xml:space="preserve">Earthing grid</t>
  </si>
  <si>
    <t xml:space="preserve">DC system</t>
  </si>
  <si>
    <t xml:space="preserve">Standard ratings (edit if your vendor differs)</t>
  </si>
  <si>
    <t xml:space="preserve">Transformer (MVA)</t>
  </si>
  <si>
    <t xml:space="preserve">132 kV breaking (kA)</t>
  </si>
  <si>
    <t xml:space="preserve">33 kV breaking (kA)</t>
  </si>
  <si>
    <t xml:space="preserve">132 kV equipment current (A)</t>
  </si>
  <si>
    <t xml:space="preserve">33 kV equipment current (A)</t>
  </si>
  <si>
    <t xml:space="preserve">CT primary (A)</t>
  </si>
  <si>
    <t xml:space="preserve">CT knee-point Vk (V)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</si>
</sst>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0.00"/>
    <numFmt numFmtId="167" formatCode="#,##0"/>
    <numFmt numFmtId="168" formatCode="0%"/>
    <numFmt numFmtId="169" formatCode="0.0000"/>
    <numFmt numFmtId="170" formatCode="0.000"/>
    <numFmt numFmtId="171" formatCode="0.0%"/>
    <numFmt numFmtId="172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Transformer!$B$8</f>
        <v>48.96</v>
      </c>
      <c r="C5" s="4" t="s">
        <v>6</v>
      </c>
    </row>
    <row r="6" customFormat="false" ht="15" hidden="false" customHeight="false" outlineLevel="0" collapsed="false">
      <c r="A6" s="4" t="s">
        <v>7</v>
      </c>
      <c r="B6" s="6" t="str">
        <f aca="false">Inputs!$B$20&amp;" x "&amp;Transformer!$B$9&amp;" MVA, 132/33 kV, YNd11, Z "&amp;Inputs!$B$21&amp;"%"</f>
        <v>2 x 50 MVA, 132/33 kV, YNd11, Z 12.5%</v>
      </c>
      <c r="C6" s="4"/>
    </row>
    <row r="7" customFormat="false" ht="15" hidden="false" customHeight="false" outlineLevel="0" collapsed="false">
      <c r="A7" s="4" t="s">
        <v>8</v>
      </c>
      <c r="B7" s="6" t="str">
        <f aca="false">TEXT(Transformer!$B$10,"0%")&amp;" / "&amp;TEXT(Transformer!$B$11,"0%")&amp;" / "&amp;TEXT(Transformer!$B$12,"0%")</f>
        <v>41% / 82% / 98%</v>
      </c>
      <c r="C7" s="4"/>
    </row>
    <row r="8" customFormat="false" ht="15" hidden="false" customHeight="false" outlineLevel="0" collapsed="false">
      <c r="A8" s="4" t="s">
        <v>9</v>
      </c>
      <c r="B8" s="6" t="str">
        <f aca="false">TEXT(Transformer!$B$13,"0")&amp;" A / "&amp;TEXT(Transformer!$B$14,"0")&amp;" A"</f>
        <v>219 A / 875 A</v>
      </c>
      <c r="C8" s="4"/>
    </row>
    <row r="9" customFormat="false" ht="15" hidden="false" customHeight="false" outlineLevel="0" collapsed="false">
      <c r="A9" s="4" t="s">
        <v>10</v>
      </c>
      <c r="B9" s="5" t="n">
        <f aca="false">ShortCircuit!$B$10</f>
        <v>17.4954627027159</v>
      </c>
      <c r="C9" s="4" t="s">
        <v>11</v>
      </c>
    </row>
    <row r="10" customFormat="false" ht="15" hidden="false" customHeight="false" outlineLevel="0" collapsed="false">
      <c r="A10" s="4" t="s">
        <v>12</v>
      </c>
      <c r="B10" s="6" t="str">
        <f aca="false">TEXT(ShortCircuit!$B$12,"0.0")&amp;" / "&amp;TEXT(ShortCircuit!$B$13,"0.0")</f>
        <v>12.9 / 7.1</v>
      </c>
      <c r="C10" s="4" t="s">
        <v>11</v>
      </c>
    </row>
    <row r="11" customFormat="false" ht="15" hidden="false" customHeight="false" outlineLevel="0" collapsed="false">
      <c r="A11" s="4" t="s">
        <v>13</v>
      </c>
      <c r="B11" s="6" t="str">
        <f aca="false">ShortCircuit!$B$18&amp;" / "&amp;ShortCircuit!$B$19</f>
        <v>31.5 / 25</v>
      </c>
      <c r="C11" s="4" t="s">
        <v>11</v>
      </c>
    </row>
    <row r="12" customFormat="false" ht="15" hidden="false" customHeight="false" outlineLevel="0" collapsed="false">
      <c r="A12" s="4" t="s">
        <v>14</v>
      </c>
      <c r="B12" s="6" t="str">
        <f aca="false">Equipment!$B$6&amp;" / "&amp;Equipment!$B$7</f>
        <v>1250 / 1250</v>
      </c>
      <c r="C12" s="4" t="s">
        <v>15</v>
      </c>
    </row>
    <row r="13" customFormat="false" ht="15" hidden="false" customHeight="false" outlineLevel="0" collapsed="false">
      <c r="A13" s="4" t="s">
        <v>16</v>
      </c>
      <c r="B13" s="6" t="str">
        <f aca="false">Equipment!$B$23&amp;" / "&amp;Equipment!$B$24&amp;" / "&amp;Equipment!$B$25&amp;" / "&amp;Equipment!$B$26</f>
        <v>600 / 300 / 1200 / 200</v>
      </c>
      <c r="C13" s="4" t="s">
        <v>17</v>
      </c>
    </row>
    <row r="14" customFormat="false" ht="15" hidden="false" customHeight="false" outlineLevel="0" collapsed="false">
      <c r="A14" s="4" t="s">
        <v>18</v>
      </c>
      <c r="B14" s="6" t="str">
        <f aca="false">Equipment!$B$20&amp;" / "&amp;Equipment!$B$21</f>
        <v>120 / 36</v>
      </c>
      <c r="C14" s="4" t="s">
        <v>19</v>
      </c>
    </row>
    <row r="15" customFormat="false" ht="15" hidden="false" customHeight="false" outlineLevel="0" collapsed="false">
      <c r="A15" s="4" t="s">
        <v>20</v>
      </c>
      <c r="B15" s="6" t="str">
        <f aca="false">TEXT(Transformer!$B$22,"0.0")&amp;" ohm, "&amp;Inputs!$B$25&amp;" A"</f>
        <v>63.5 ohm, 300 A</v>
      </c>
      <c r="C15" s="4"/>
    </row>
    <row r="16" customFormat="false" ht="15" hidden="false" customHeight="false" outlineLevel="0" collapsed="false">
      <c r="A16" s="4" t="s">
        <v>21</v>
      </c>
      <c r="B16" s="7" t="n">
        <f aca="false">Earthing!$B$36</f>
        <v>0.728161285188971</v>
      </c>
      <c r="C16" s="4" t="s">
        <v>22</v>
      </c>
    </row>
    <row r="17" customFormat="false" ht="15" hidden="false" customHeight="false" outlineLevel="0" collapsed="false">
      <c r="A17" s="4" t="s">
        <v>23</v>
      </c>
      <c r="B17" s="8" t="n">
        <f aca="false">Earthing!$B$40</f>
        <v>9294.2096682163</v>
      </c>
      <c r="C17" s="4" t="s">
        <v>24</v>
      </c>
    </row>
    <row r="18" customFormat="false" ht="15" hidden="false" customHeight="false" outlineLevel="0" collapsed="false">
      <c r="A18" s="4" t="s">
        <v>25</v>
      </c>
      <c r="B18" s="6" t="str">
        <f aca="false">TEXT(Earthing!$B$53,"0")&amp;" vs "&amp;TEXT(Earthing!$B$43,"0")</f>
        <v>621 vs 706</v>
      </c>
      <c r="C18" s="4" t="s">
        <v>24</v>
      </c>
    </row>
    <row r="20" customFormat="false" ht="15" hidden="false" customHeight="false" outlineLevel="0" collapsed="false">
      <c r="A20" s="9" t="s">
        <v>26</v>
      </c>
    </row>
    <row r="21" customFormat="false" ht="15" hidden="false" customHeight="false" outlineLevel="0" collapsed="false">
      <c r="A21" s="3" t="s">
        <v>27</v>
      </c>
      <c r="B21" s="3" t="s">
        <v>28</v>
      </c>
    </row>
    <row r="22" customFormat="false" ht="15" hidden="false" customHeight="false" outlineLevel="0" collapsed="false">
      <c r="A22" s="4" t="s">
        <v>29</v>
      </c>
      <c r="B22" s="10" t="str">
        <f aca="false">IF(Transformer!$B$12&lt;=1,"OK","FAIL")</f>
        <v>OK</v>
      </c>
    </row>
    <row r="23" customFormat="false" ht="15" hidden="false" customHeight="false" outlineLevel="0" collapsed="false">
      <c r="A23" s="4" t="s">
        <v>30</v>
      </c>
      <c r="B23" s="10" t="str">
        <f aca="false">IF(ShortCircuit!$B$18&gt;=ShortCircuit!$B$10,"OK","FAIL")</f>
        <v>OK</v>
      </c>
    </row>
    <row r="24" customFormat="false" ht="15" hidden="false" customHeight="false" outlineLevel="0" collapsed="false">
      <c r="A24" s="4" t="s">
        <v>31</v>
      </c>
      <c r="B24" s="10" t="str">
        <f aca="false">IF(ShortCircuit!$B$19&gt;=ShortCircuit!$B$12,"OK","FAIL")</f>
        <v>OK</v>
      </c>
    </row>
    <row r="25" customFormat="false" ht="15" hidden="false" customHeight="false" outlineLevel="0" collapsed="false">
      <c r="A25" s="4" t="s">
        <v>32</v>
      </c>
      <c r="B25" s="10" t="str">
        <f aca="false">IF(AND(ABS(ShortCircuit!$B$29)&lt;0.05,ABS(ShortCircuit!$B$30)&lt;0.05),"OK","CHECK")</f>
        <v>OK</v>
      </c>
    </row>
    <row r="26" customFormat="false" ht="15" hidden="false" customHeight="false" outlineLevel="0" collapsed="false">
      <c r="A26" s="4" t="s">
        <v>33</v>
      </c>
      <c r="B26" s="10" t="str">
        <f aca="false">Equipment!$B$44</f>
        <v>OK</v>
      </c>
    </row>
    <row r="27" customFormat="false" ht="15" hidden="false" customHeight="false" outlineLevel="0" collapsed="false">
      <c r="A27" s="4" t="s">
        <v>34</v>
      </c>
      <c r="B27" s="10" t="str">
        <f aca="false">Protection!$B$31</f>
        <v>OK</v>
      </c>
    </row>
    <row r="28" customFormat="false" ht="15" hidden="false" customHeight="false" outlineLevel="0" collapsed="false">
      <c r="A28" s="4" t="s">
        <v>35</v>
      </c>
      <c r="B28" s="10" t="str">
        <f aca="false">Protection!$B$34</f>
        <v>OK</v>
      </c>
    </row>
    <row r="29" customFormat="false" ht="15" hidden="false" customHeight="false" outlineLevel="0" collapsed="false">
      <c r="A29" s="4" t="s">
        <v>36</v>
      </c>
      <c r="B29" s="10" t="str">
        <f aca="false">Protection!$B$43</f>
        <v>OK</v>
      </c>
    </row>
    <row r="30" customFormat="false" ht="15" hidden="false" customHeight="false" outlineLevel="0" collapsed="false">
      <c r="A30" s="4" t="s">
        <v>37</v>
      </c>
      <c r="B30" s="10" t="str">
        <f aca="false">Earthing!$B$58</f>
        <v>OK</v>
      </c>
    </row>
    <row r="31" customFormat="false" ht="15" hidden="false" customHeight="false" outlineLevel="0" collapsed="false">
      <c r="A31" s="4" t="s">
        <v>38</v>
      </c>
      <c r="B31" s="10" t="str">
        <f aca="false">Earthing!$B$59</f>
        <v>OK</v>
      </c>
    </row>
    <row r="32" customFormat="false" ht="15" hidden="false" customHeight="false" outlineLevel="0" collapsed="false">
      <c r="A32" s="4" t="s">
        <v>39</v>
      </c>
      <c r="B32" s="10" t="str">
        <f aca="false">Earthing!$B$60</f>
        <v>OK</v>
      </c>
    </row>
    <row r="33" customFormat="false" ht="15" hidden="false" customHeight="false" outlineLevel="0" collapsed="false">
      <c r="A33" s="9" t="s">
        <v>40</v>
      </c>
      <c r="B33" s="11" t="str">
        <f aca="false">IF(COUNTIF(B22:B32,"OK")=11,"ALL CHECKS PASS","REVIEW")</f>
        <v>ALL CHECKS PASS</v>
      </c>
    </row>
    <row r="35" customFormat="false" ht="15" hidden="false" customHeight="false" outlineLevel="0" collapsed="false">
      <c r="A35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</v>
      </c>
      <c r="D4" s="3" t="s">
        <v>46</v>
      </c>
    </row>
    <row r="5" customFormat="false" ht="15" hidden="false" customHeight="false" outlineLevel="0" collapsed="false">
      <c r="A5" s="12" t="s">
        <v>47</v>
      </c>
      <c r="B5" s="13"/>
      <c r="C5" s="13"/>
      <c r="D5" s="13"/>
    </row>
    <row r="6" customFormat="false" ht="15" hidden="false" customHeight="false" outlineLevel="0" collapsed="false">
      <c r="A6" s="14" t="s">
        <v>48</v>
      </c>
      <c r="B6" s="15" t="n">
        <v>132</v>
      </c>
      <c r="C6" s="4" t="s">
        <v>19</v>
      </c>
      <c r="D6" s="14" t="s">
        <v>49</v>
      </c>
    </row>
    <row r="7" customFormat="false" ht="15" hidden="false" customHeight="false" outlineLevel="0" collapsed="false">
      <c r="A7" s="14" t="s">
        <v>50</v>
      </c>
      <c r="B7" s="15" t="n">
        <v>145</v>
      </c>
      <c r="C7" s="4" t="s">
        <v>19</v>
      </c>
      <c r="D7" s="14" t="s">
        <v>51</v>
      </c>
    </row>
    <row r="8" customFormat="false" ht="15" hidden="false" customHeight="false" outlineLevel="0" collapsed="false">
      <c r="A8" s="14" t="s">
        <v>52</v>
      </c>
      <c r="B8" s="15" t="n">
        <v>33</v>
      </c>
      <c r="C8" s="4" t="s">
        <v>19</v>
      </c>
      <c r="D8" s="14"/>
    </row>
    <row r="9" customFormat="false" ht="15" hidden="false" customHeight="false" outlineLevel="0" collapsed="false">
      <c r="A9" s="14" t="s">
        <v>53</v>
      </c>
      <c r="B9" s="15" t="n">
        <v>36</v>
      </c>
      <c r="C9" s="4" t="s">
        <v>19</v>
      </c>
      <c r="D9" s="14"/>
    </row>
    <row r="10" customFormat="false" ht="15" hidden="false" customHeight="false" outlineLevel="0" collapsed="false">
      <c r="A10" s="14" t="s">
        <v>54</v>
      </c>
      <c r="B10" s="15" t="n">
        <v>50</v>
      </c>
      <c r="C10" s="4" t="s">
        <v>55</v>
      </c>
      <c r="D10" s="14"/>
    </row>
    <row r="11" customFormat="false" ht="15" hidden="false" customHeight="false" outlineLevel="0" collapsed="false">
      <c r="A11" s="14" t="s">
        <v>56</v>
      </c>
      <c r="B11" s="15" t="n">
        <v>4000</v>
      </c>
      <c r="C11" s="4" t="s">
        <v>6</v>
      </c>
      <c r="D11" s="14" t="s">
        <v>57</v>
      </c>
    </row>
    <row r="12" customFormat="false" ht="15" hidden="false" customHeight="false" outlineLevel="0" collapsed="false">
      <c r="A12" s="14" t="s">
        <v>58</v>
      </c>
      <c r="B12" s="15" t="n">
        <v>2500</v>
      </c>
      <c r="C12" s="4" t="s">
        <v>6</v>
      </c>
      <c r="D12" s="14" t="s">
        <v>59</v>
      </c>
    </row>
    <row r="13" customFormat="false" ht="15" hidden="false" customHeight="false" outlineLevel="0" collapsed="false">
      <c r="A13" s="14" t="s">
        <v>60</v>
      </c>
      <c r="B13" s="15" t="n">
        <v>1.1</v>
      </c>
      <c r="C13" s="4" t="s">
        <v>61</v>
      </c>
      <c r="D13" s="14" t="s">
        <v>62</v>
      </c>
    </row>
    <row r="14" customFormat="false" ht="15" hidden="false" customHeight="false" outlineLevel="0" collapsed="false">
      <c r="A14" s="12" t="s">
        <v>63</v>
      </c>
      <c r="B14" s="13"/>
      <c r="C14" s="13"/>
      <c r="D14" s="13"/>
    </row>
    <row r="15" customFormat="false" ht="15" hidden="false" customHeight="false" outlineLevel="0" collapsed="false">
      <c r="A15" s="14" t="s">
        <v>64</v>
      </c>
      <c r="B15" s="15" t="n">
        <v>6</v>
      </c>
      <c r="C15" s="4" t="s">
        <v>65</v>
      </c>
      <c r="D15" s="14" t="s">
        <v>66</v>
      </c>
    </row>
    <row r="16" customFormat="false" ht="15" hidden="false" customHeight="false" outlineLevel="0" collapsed="false">
      <c r="A16" s="14" t="s">
        <v>67</v>
      </c>
      <c r="B16" s="15" t="n">
        <v>8</v>
      </c>
      <c r="C16" s="4" t="s">
        <v>6</v>
      </c>
      <c r="D16" s="14" t="s">
        <v>68</v>
      </c>
    </row>
    <row r="17" customFormat="false" ht="15" hidden="false" customHeight="false" outlineLevel="0" collapsed="false">
      <c r="A17" s="14" t="s">
        <v>69</v>
      </c>
      <c r="B17" s="15" t="n">
        <v>0.85</v>
      </c>
      <c r="C17" s="4" t="s">
        <v>61</v>
      </c>
      <c r="D17" s="14"/>
    </row>
    <row r="18" customFormat="false" ht="15" hidden="false" customHeight="false" outlineLevel="0" collapsed="false">
      <c r="A18" s="14" t="s">
        <v>70</v>
      </c>
      <c r="B18" s="16" t="n">
        <v>0.2</v>
      </c>
      <c r="C18" s="4" t="s">
        <v>61</v>
      </c>
      <c r="D18" s="14"/>
    </row>
    <row r="19" customFormat="false" ht="15" hidden="false" customHeight="false" outlineLevel="0" collapsed="false">
      <c r="A19" s="12" t="s">
        <v>71</v>
      </c>
      <c r="B19" s="13"/>
      <c r="C19" s="13"/>
      <c r="D19" s="13"/>
    </row>
    <row r="20" customFormat="false" ht="15" hidden="false" customHeight="false" outlineLevel="0" collapsed="false">
      <c r="A20" s="14" t="s">
        <v>72</v>
      </c>
      <c r="B20" s="15" t="n">
        <v>2</v>
      </c>
      <c r="C20" s="4" t="s">
        <v>65</v>
      </c>
      <c r="D20" s="14" t="s">
        <v>73</v>
      </c>
    </row>
    <row r="21" customFormat="false" ht="15" hidden="false" customHeight="false" outlineLevel="0" collapsed="false">
      <c r="A21" s="14" t="s">
        <v>74</v>
      </c>
      <c r="B21" s="15" t="n">
        <v>12.5</v>
      </c>
      <c r="C21" s="4" t="s">
        <v>75</v>
      </c>
      <c r="D21" s="14" t="s">
        <v>76</v>
      </c>
    </row>
    <row r="22" customFormat="false" ht="15" hidden="false" customHeight="false" outlineLevel="0" collapsed="false">
      <c r="A22" s="14" t="s">
        <v>77</v>
      </c>
      <c r="B22" s="15" t="n">
        <v>10</v>
      </c>
      <c r="C22" s="4" t="s">
        <v>78</v>
      </c>
      <c r="D22" s="14" t="s">
        <v>79</v>
      </c>
    </row>
    <row r="23" customFormat="false" ht="15" hidden="false" customHeight="false" outlineLevel="0" collapsed="false">
      <c r="A23" s="14" t="s">
        <v>80</v>
      </c>
      <c r="B23" s="15" t="n">
        <v>200</v>
      </c>
      <c r="C23" s="4" t="s">
        <v>81</v>
      </c>
      <c r="D23" s="14" t="s">
        <v>82</v>
      </c>
    </row>
    <row r="24" customFormat="false" ht="15" hidden="false" customHeight="false" outlineLevel="0" collapsed="false">
      <c r="A24" s="14" t="s">
        <v>83</v>
      </c>
      <c r="B24" s="15" t="n">
        <v>30</v>
      </c>
      <c r="C24" s="4" t="s">
        <v>81</v>
      </c>
      <c r="D24" s="14" t="s">
        <v>82</v>
      </c>
    </row>
    <row r="25" customFormat="false" ht="15" hidden="false" customHeight="false" outlineLevel="0" collapsed="false">
      <c r="A25" s="14" t="s">
        <v>84</v>
      </c>
      <c r="B25" s="15" t="n">
        <v>300</v>
      </c>
      <c r="C25" s="4" t="s">
        <v>15</v>
      </c>
      <c r="D25" s="14" t="s">
        <v>85</v>
      </c>
    </row>
    <row r="26" customFormat="false" ht="15" hidden="false" customHeight="false" outlineLevel="0" collapsed="false">
      <c r="A26" s="14" t="s">
        <v>86</v>
      </c>
      <c r="B26" s="15" t="n">
        <v>10</v>
      </c>
      <c r="C26" s="4" t="s">
        <v>87</v>
      </c>
      <c r="D26" s="14"/>
    </row>
    <row r="27" customFormat="false" ht="15" hidden="false" customHeight="false" outlineLevel="0" collapsed="false">
      <c r="A27" s="12" t="s">
        <v>88</v>
      </c>
      <c r="B27" s="13"/>
      <c r="C27" s="13"/>
      <c r="D27" s="13"/>
    </row>
    <row r="28" customFormat="false" ht="15" hidden="false" customHeight="false" outlineLevel="0" collapsed="false">
      <c r="A28" s="14" t="s">
        <v>89</v>
      </c>
      <c r="B28" s="15" t="n">
        <v>31.5</v>
      </c>
      <c r="C28" s="4" t="s">
        <v>11</v>
      </c>
      <c r="D28" s="14" t="s">
        <v>90</v>
      </c>
    </row>
    <row r="29" customFormat="false" ht="15" hidden="false" customHeight="false" outlineLevel="0" collapsed="false">
      <c r="A29" s="14" t="s">
        <v>91</v>
      </c>
      <c r="B29" s="15" t="n">
        <v>25</v>
      </c>
      <c r="C29" s="4" t="s">
        <v>11</v>
      </c>
      <c r="D29" s="14" t="s">
        <v>90</v>
      </c>
    </row>
    <row r="30" customFormat="false" ht="15" hidden="false" customHeight="false" outlineLevel="0" collapsed="false">
      <c r="A30" s="14" t="s">
        <v>92</v>
      </c>
      <c r="B30" s="17" t="n">
        <v>1.8</v>
      </c>
      <c r="C30" s="4" t="s">
        <v>61</v>
      </c>
      <c r="D30" s="14" t="s">
        <v>93</v>
      </c>
    </row>
    <row r="31" customFormat="false" ht="15" hidden="false" customHeight="false" outlineLevel="0" collapsed="false">
      <c r="A31" s="14" t="s">
        <v>94</v>
      </c>
      <c r="B31" s="15" t="n">
        <v>1</v>
      </c>
      <c r="C31" s="4" t="s">
        <v>65</v>
      </c>
      <c r="D31" s="14" t="s">
        <v>95</v>
      </c>
    </row>
    <row r="32" customFormat="false" ht="15" hidden="false" customHeight="false" outlineLevel="0" collapsed="false">
      <c r="A32" s="14" t="s">
        <v>96</v>
      </c>
      <c r="B32" s="17" t="n">
        <v>1.25</v>
      </c>
      <c r="C32" s="4" t="s">
        <v>61</v>
      </c>
      <c r="D32" s="14"/>
    </row>
    <row r="33" customFormat="false" ht="15" hidden="false" customHeight="false" outlineLevel="0" collapsed="false">
      <c r="A33" s="14" t="s">
        <v>97</v>
      </c>
      <c r="B33" s="17" t="n">
        <v>1.2</v>
      </c>
      <c r="C33" s="4" t="s">
        <v>61</v>
      </c>
      <c r="D3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</v>
      </c>
      <c r="D4" s="3" t="s">
        <v>46</v>
      </c>
    </row>
    <row r="5" customFormat="false" ht="15" hidden="false" customHeight="false" outlineLevel="0" collapsed="false">
      <c r="A5" s="12" t="s">
        <v>100</v>
      </c>
      <c r="B5" s="13"/>
      <c r="C5" s="13"/>
      <c r="D5" s="13"/>
    </row>
    <row r="6" customFormat="false" ht="15" hidden="false" customHeight="false" outlineLevel="0" collapsed="false">
      <c r="A6" s="14" t="s">
        <v>101</v>
      </c>
      <c r="B6" s="18" t="n">
        <f aca="false">Inputs!$B$15*Inputs!$B$16</f>
        <v>48</v>
      </c>
      <c r="C6" s="4" t="s">
        <v>6</v>
      </c>
      <c r="D6" s="14"/>
    </row>
    <row r="7" customFormat="false" ht="15" hidden="false" customHeight="false" outlineLevel="0" collapsed="false">
      <c r="A7" s="14" t="s">
        <v>102</v>
      </c>
      <c r="B7" s="18" t="n">
        <f aca="false">Transformer!$B$6*Inputs!$B$17</f>
        <v>40.8</v>
      </c>
      <c r="C7" s="4" t="s">
        <v>6</v>
      </c>
      <c r="D7" s="14"/>
    </row>
    <row r="8" customFormat="false" ht="15" hidden="false" customHeight="false" outlineLevel="0" collapsed="false">
      <c r="A8" s="14" t="s">
        <v>103</v>
      </c>
      <c r="B8" s="18" t="n">
        <f aca="false">Transformer!$B$7*(1+Inputs!$B$18)</f>
        <v>48.96</v>
      </c>
      <c r="C8" s="4" t="s">
        <v>6</v>
      </c>
      <c r="D8" s="14" t="s">
        <v>104</v>
      </c>
    </row>
    <row r="9" customFormat="false" ht="15" hidden="false" customHeight="false" outlineLevel="0" collapsed="false">
      <c r="A9" s="14" t="s">
        <v>105</v>
      </c>
      <c r="B9" s="18" t="n">
        <f aca="false">IFERROR(INDEX(Std!$A$4:$A$10,COUNTIF(Std!$A$4:$A$10,"&lt;"&amp;(Transformer!$B$8))+1),"EXCEEDS LIST")</f>
        <v>50</v>
      </c>
      <c r="C9" s="4" t="s">
        <v>6</v>
      </c>
      <c r="D9" s="14" t="s">
        <v>106</v>
      </c>
    </row>
    <row r="10" customFormat="false" ht="15" hidden="false" customHeight="false" outlineLevel="0" collapsed="false">
      <c r="A10" s="14" t="s">
        <v>107</v>
      </c>
      <c r="B10" s="19" t="n">
        <f aca="false">Transformer!$B$7/Inputs!$B$20/Transformer!$B$9</f>
        <v>0.408</v>
      </c>
      <c r="C10" s="4"/>
      <c r="D10" s="14"/>
    </row>
    <row r="11" customFormat="false" ht="15" hidden="false" customHeight="false" outlineLevel="0" collapsed="false">
      <c r="A11" s="14" t="s">
        <v>108</v>
      </c>
      <c r="B11" s="19" t="n">
        <f aca="false">Transformer!$B$7/Transformer!$B$9</f>
        <v>0.816</v>
      </c>
      <c r="C11" s="4"/>
      <c r="D11" s="14"/>
    </row>
    <row r="12" customFormat="false" ht="15" hidden="false" customHeight="false" outlineLevel="0" collapsed="false">
      <c r="A12" s="14" t="s">
        <v>109</v>
      </c>
      <c r="B12" s="19" t="n">
        <f aca="false">Transformer!$B$8/Transformer!$B$9</f>
        <v>0.9792</v>
      </c>
      <c r="C12" s="4"/>
      <c r="D12" s="14" t="s">
        <v>110</v>
      </c>
    </row>
    <row r="13" customFormat="false" ht="15" hidden="false" customHeight="false" outlineLevel="0" collapsed="false">
      <c r="A13" s="14" t="s">
        <v>111</v>
      </c>
      <c r="B13" s="18" t="n">
        <f aca="false">Transformer!$B$9*1000/(SQRT(3)*Inputs!$B$6)</f>
        <v>218.693283783949</v>
      </c>
      <c r="C13" s="4" t="s">
        <v>15</v>
      </c>
      <c r="D13" s="14"/>
    </row>
    <row r="14" customFormat="false" ht="15" hidden="false" customHeight="false" outlineLevel="0" collapsed="false">
      <c r="A14" s="14" t="s">
        <v>112</v>
      </c>
      <c r="B14" s="18" t="n">
        <f aca="false">Transformer!$B$9*1000/(SQRT(3)*Inputs!$B$8)</f>
        <v>874.773135135797</v>
      </c>
      <c r="C14" s="4" t="s">
        <v>15</v>
      </c>
      <c r="D14" s="14"/>
    </row>
    <row r="15" customFormat="false" ht="15" hidden="false" customHeight="false" outlineLevel="0" collapsed="false">
      <c r="A15" s="14" t="s">
        <v>113</v>
      </c>
      <c r="B15" s="18" t="n">
        <f aca="false">Inputs!$B$16*1000/(SQRT(3)*Inputs!$B$8)</f>
        <v>139.963701621727</v>
      </c>
      <c r="C15" s="4" t="s">
        <v>15</v>
      </c>
      <c r="D15" s="14"/>
    </row>
    <row r="16" customFormat="false" ht="15" hidden="false" customHeight="false" outlineLevel="0" collapsed="false">
      <c r="A16" s="12" t="s">
        <v>114</v>
      </c>
      <c r="B16" s="13"/>
      <c r="C16" s="13"/>
      <c r="D16" s="13"/>
    </row>
    <row r="17" customFormat="false" ht="15" hidden="false" customHeight="false" outlineLevel="0" collapsed="false">
      <c r="A17" s="14" t="s">
        <v>115</v>
      </c>
      <c r="B17" s="20" t="n">
        <f aca="false">Inputs!$B$21/100</f>
        <v>0.125</v>
      </c>
      <c r="C17" s="4" t="s">
        <v>116</v>
      </c>
      <c r="D17" s="14"/>
    </row>
    <row r="18" customFormat="false" ht="15" hidden="false" customHeight="false" outlineLevel="0" collapsed="false">
      <c r="A18" s="14" t="s">
        <v>117</v>
      </c>
      <c r="B18" s="21" t="n">
        <f aca="false">0.95*Inputs!$B$13/(1+0.6*Transformer!$B$17)</f>
        <v>0.972093023255814</v>
      </c>
      <c r="C18" s="4"/>
      <c r="D18" s="14"/>
    </row>
    <row r="19" customFormat="false" ht="15" hidden="false" customHeight="false" outlineLevel="0" collapsed="false">
      <c r="A19" s="14" t="s">
        <v>118</v>
      </c>
      <c r="B19" s="22" t="n">
        <f aca="false">Inputs!$B$23/(Transformer!$B$9*1000)*100</f>
        <v>0.4</v>
      </c>
      <c r="C19" s="4" t="s">
        <v>75</v>
      </c>
      <c r="D19" s="14"/>
    </row>
    <row r="20" customFormat="false" ht="15" hidden="false" customHeight="false" outlineLevel="0" collapsed="false">
      <c r="A20" s="12" t="s">
        <v>119</v>
      </c>
      <c r="B20" s="13"/>
      <c r="C20" s="13"/>
      <c r="D20" s="13"/>
    </row>
    <row r="21" customFormat="false" ht="15" hidden="false" customHeight="false" outlineLevel="0" collapsed="false">
      <c r="A21" s="14" t="s">
        <v>120</v>
      </c>
      <c r="B21" s="23" t="n">
        <f aca="false">Inputs!$B$8*1000/SQRT(3)</f>
        <v>19052.5588832577</v>
      </c>
      <c r="C21" s="4" t="s">
        <v>24</v>
      </c>
      <c r="D21" s="14"/>
    </row>
    <row r="22" customFormat="false" ht="15" hidden="false" customHeight="false" outlineLevel="0" collapsed="false">
      <c r="A22" s="14" t="s">
        <v>121</v>
      </c>
      <c r="B22" s="18" t="n">
        <f aca="false">Transformer!$B$21/Inputs!$B$25</f>
        <v>63.5085296108588</v>
      </c>
      <c r="C22" s="4" t="s">
        <v>22</v>
      </c>
      <c r="D22" s="14"/>
    </row>
    <row r="23" customFormat="false" ht="15" hidden="false" customHeight="false" outlineLevel="0" collapsed="false">
      <c r="A23" s="14" t="s">
        <v>122</v>
      </c>
      <c r="B23" s="23" t="n">
        <f aca="false">Transformer!$B$21*Inputs!$B$25/1000</f>
        <v>5715.7676649773</v>
      </c>
      <c r="C23" s="4" t="s">
        <v>123</v>
      </c>
      <c r="D23" s="14" t="s">
        <v>124</v>
      </c>
    </row>
    <row r="24" customFormat="false" ht="15" hidden="false" customHeight="false" outlineLevel="0" collapsed="false">
      <c r="A24" s="14" t="s">
        <v>125</v>
      </c>
      <c r="B24" s="22" t="n">
        <f aca="false">Transformer!$B$21*Inputs!$B$25/1000000</f>
        <v>5.7157676649773</v>
      </c>
      <c r="C24" s="4" t="s">
        <v>126</v>
      </c>
      <c r="D24" s="14"/>
    </row>
    <row r="25" customFormat="false" ht="15" hidden="false" customHeight="false" outlineLevel="0" collapsed="false">
      <c r="A25" s="12" t="s">
        <v>127</v>
      </c>
      <c r="B25" s="13"/>
      <c r="C25" s="13"/>
      <c r="D25" s="13"/>
    </row>
    <row r="26" customFormat="false" ht="15" hidden="false" customHeight="false" outlineLevel="0" collapsed="false">
      <c r="A26" s="14" t="s">
        <v>128</v>
      </c>
      <c r="B26" s="22" t="n">
        <f aca="false">Inputs!$B$22/8</f>
        <v>1.25</v>
      </c>
      <c r="C26" s="4" t="s">
        <v>75</v>
      </c>
      <c r="D26" s="14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</v>
      </c>
      <c r="D4" s="3" t="s">
        <v>46</v>
      </c>
    </row>
    <row r="5" customFormat="false" ht="15" hidden="false" customHeight="false" outlineLevel="0" collapsed="false">
      <c r="A5" s="12" t="s">
        <v>132</v>
      </c>
      <c r="B5" s="13"/>
      <c r="C5" s="13"/>
      <c r="D5" s="13"/>
    </row>
    <row r="6" customFormat="false" ht="15" hidden="false" customHeight="false" outlineLevel="0" collapsed="false">
      <c r="A6" s="14" t="s">
        <v>133</v>
      </c>
      <c r="B6" s="20" t="n">
        <f aca="false">Inputs!$B$13*Transformer!$B$9/Inputs!$B$11</f>
        <v>0.01375</v>
      </c>
      <c r="C6" s="4" t="s">
        <v>116</v>
      </c>
      <c r="D6" s="14"/>
    </row>
    <row r="7" customFormat="false" ht="15" hidden="false" customHeight="false" outlineLevel="0" collapsed="false">
      <c r="A7" s="14" t="s">
        <v>134</v>
      </c>
      <c r="B7" s="20" t="n">
        <f aca="false">Transformer!$B$9/Inputs!$B$12</f>
        <v>0.02</v>
      </c>
      <c r="C7" s="4" t="s">
        <v>116</v>
      </c>
      <c r="D7" s="14"/>
    </row>
    <row r="8" customFormat="false" ht="15" hidden="false" customHeight="false" outlineLevel="0" collapsed="false">
      <c r="A8" s="14" t="s">
        <v>135</v>
      </c>
      <c r="B8" s="20" t="n">
        <f aca="false">Transformer!$B$18*Transformer!$B$17</f>
        <v>0.121511627906977</v>
      </c>
      <c r="C8" s="4" t="s">
        <v>116</v>
      </c>
      <c r="D8" s="14"/>
    </row>
    <row r="9" customFormat="false" ht="15" hidden="false" customHeight="false" outlineLevel="0" collapsed="false">
      <c r="A9" s="12" t="s">
        <v>136</v>
      </c>
      <c r="B9" s="13"/>
      <c r="C9" s="13"/>
      <c r="D9" s="13"/>
    </row>
    <row r="10" customFormat="false" ht="15" hidden="false" customHeight="false" outlineLevel="0" collapsed="false">
      <c r="A10" s="14" t="s">
        <v>137</v>
      </c>
      <c r="B10" s="22" t="n">
        <f aca="false">Inputs!$B$11/(SQRT(3)*Inputs!$B$6)</f>
        <v>17.4954627027159</v>
      </c>
      <c r="C10" s="4" t="s">
        <v>11</v>
      </c>
      <c r="D10" s="14" t="s">
        <v>138</v>
      </c>
    </row>
    <row r="11" customFormat="false" ht="15" hidden="false" customHeight="false" outlineLevel="0" collapsed="false">
      <c r="A11" s="14" t="s">
        <v>139</v>
      </c>
      <c r="B11" s="22" t="n">
        <f aca="false">Inputs!$B$12/(SQRT(3)*Inputs!$B$6)</f>
        <v>10.9346641891975</v>
      </c>
      <c r="C11" s="4" t="s">
        <v>11</v>
      </c>
      <c r="D11" s="14"/>
    </row>
    <row r="12" customFormat="false" ht="15" hidden="false" customHeight="false" outlineLevel="0" collapsed="false">
      <c r="A12" s="14" t="s">
        <v>140</v>
      </c>
      <c r="B12" s="22" t="n">
        <f aca="false">Inputs!$B$13*Transformer!$B$14/(ShortCircuit!$B$6+ShortCircuit!$B$8/Inputs!$B$20)/1000</f>
        <v>12.9151055144512</v>
      </c>
      <c r="C12" s="4" t="s">
        <v>11</v>
      </c>
      <c r="D12" s="14"/>
    </row>
    <row r="13" customFormat="false" ht="15" hidden="false" customHeight="false" outlineLevel="0" collapsed="false">
      <c r="A13" s="14" t="s">
        <v>141</v>
      </c>
      <c r="B13" s="22" t="n">
        <f aca="false">Inputs!$B$13*Transformer!$B$14/(ShortCircuit!$B$6+ShortCircuit!$B$8)/1000</f>
        <v>7.11399429046605</v>
      </c>
      <c r="C13" s="4" t="s">
        <v>11</v>
      </c>
      <c r="D13" s="14"/>
    </row>
    <row r="14" customFormat="false" ht="15" hidden="false" customHeight="false" outlineLevel="0" collapsed="false">
      <c r="A14" s="14" t="s">
        <v>142</v>
      </c>
      <c r="B14" s="22" t="n">
        <f aca="false">1*Transformer!$B$14/(ShortCircuit!$B$7+Transformer!$B$17)/1000</f>
        <v>6.03291817335032</v>
      </c>
      <c r="C14" s="4" t="s">
        <v>11</v>
      </c>
      <c r="D14" s="14" t="s">
        <v>143</v>
      </c>
    </row>
    <row r="15" customFormat="false" ht="15" hidden="false" customHeight="false" outlineLevel="0" collapsed="false">
      <c r="A15" s="14" t="s">
        <v>144</v>
      </c>
      <c r="B15" s="18" t="n">
        <f aca="false">Inputs!$B$30*SQRT(2)*ShortCircuit!$B$10</f>
        <v>44.5361771415123</v>
      </c>
      <c r="C15" s="4" t="s">
        <v>11</v>
      </c>
      <c r="D15" s="14"/>
    </row>
    <row r="16" customFormat="false" ht="15" hidden="false" customHeight="false" outlineLevel="0" collapsed="false">
      <c r="A16" s="14" t="s">
        <v>145</v>
      </c>
      <c r="B16" s="18" t="n">
        <f aca="false">Inputs!$B$30*SQRT(2)*ShortCircuit!$B$12</f>
        <v>32.8764912804297</v>
      </c>
      <c r="C16" s="4" t="s">
        <v>11</v>
      </c>
      <c r="D16" s="14"/>
    </row>
    <row r="17" customFormat="false" ht="15" hidden="false" customHeight="false" outlineLevel="0" collapsed="false">
      <c r="A17" s="12" t="s">
        <v>146</v>
      </c>
      <c r="B17" s="13"/>
      <c r="C17" s="13"/>
      <c r="D17" s="13"/>
    </row>
    <row r="18" customFormat="false" ht="15" hidden="false" customHeight="false" outlineLevel="0" collapsed="false">
      <c r="A18" s="14" t="s">
        <v>147</v>
      </c>
      <c r="B18" s="18" t="n">
        <f aca="false">MAX(Inputs!$B$28,IFERROR(INDEX(Std!$B$4:$B$6,COUNTIF(Std!$B$4:$B$6,"&lt;"&amp;(ShortCircuit!$B$10))+1),"EXCEEDS LIST"))</f>
        <v>31.5</v>
      </c>
      <c r="C18" s="4" t="s">
        <v>11</v>
      </c>
      <c r="D18" s="14"/>
    </row>
    <row r="19" customFormat="false" ht="15" hidden="false" customHeight="false" outlineLevel="0" collapsed="false">
      <c r="A19" s="14" t="s">
        <v>148</v>
      </c>
      <c r="B19" s="18" t="n">
        <f aca="false">MAX(Inputs!$B$29,IFERROR(INDEX(Std!$C$4:$C$7,COUNTIF(Std!$C$4:$C$7,"&lt;"&amp;(ShortCircuit!$B$12))+1),"EXCEEDS LIST"))</f>
        <v>25</v>
      </c>
      <c r="C19" s="4" t="s">
        <v>11</v>
      </c>
      <c r="D19" s="14"/>
    </row>
    <row r="20" customFormat="false" ht="15" hidden="false" customHeight="false" outlineLevel="0" collapsed="false">
      <c r="A20" s="14" t="s">
        <v>149</v>
      </c>
      <c r="B20" s="19" t="n">
        <f aca="false">ShortCircuit!$B$10/ShortCircuit!$B$18</f>
        <v>0.555411514371934</v>
      </c>
      <c r="C20" s="4"/>
      <c r="D20" s="14"/>
    </row>
    <row r="21" customFormat="false" ht="15" hidden="false" customHeight="false" outlineLevel="0" collapsed="false">
      <c r="A21" s="14" t="s">
        <v>150</v>
      </c>
      <c r="B21" s="19" t="n">
        <f aca="false">ShortCircuit!$B$12/ShortCircuit!$B$19</f>
        <v>0.51660422057805</v>
      </c>
      <c r="C21" s="4"/>
      <c r="D21" s="14"/>
    </row>
    <row r="22" customFormat="false" ht="15" hidden="false" customHeight="false" outlineLevel="0" collapsed="false">
      <c r="A22" s="14" t="s">
        <v>151</v>
      </c>
      <c r="B22" s="18" t="n">
        <f aca="false">2.5*ShortCircuit!$B$18</f>
        <v>78.75</v>
      </c>
      <c r="C22" s="4" t="s">
        <v>152</v>
      </c>
      <c r="D22" s="14"/>
    </row>
    <row r="23" customFormat="false" ht="15" hidden="false" customHeight="false" outlineLevel="0" collapsed="false">
      <c r="A23" s="14" t="s">
        <v>153</v>
      </c>
      <c r="B23" s="18" t="n">
        <f aca="false">2.5*ShortCircuit!$B$19</f>
        <v>62.5</v>
      </c>
      <c r="C23" s="4" t="s">
        <v>152</v>
      </c>
      <c r="D23" s="14"/>
    </row>
    <row r="24" customFormat="false" ht="15" hidden="false" customHeight="false" outlineLevel="0" collapsed="false">
      <c r="A24" s="12" t="s">
        <v>154</v>
      </c>
      <c r="B24" s="13"/>
      <c r="C24" s="13"/>
      <c r="D24" s="13"/>
    </row>
    <row r="25" customFormat="false" ht="15" hidden="false" customHeight="false" outlineLevel="0" collapsed="false">
      <c r="A25" s="14" t="s">
        <v>155</v>
      </c>
      <c r="B25" s="22" t="n">
        <f aca="false">17.495</f>
        <v>17.495</v>
      </c>
      <c r="C25" s="4" t="s">
        <v>11</v>
      </c>
      <c r="D25" s="14" t="s">
        <v>156</v>
      </c>
    </row>
    <row r="26" customFormat="false" ht="15" hidden="false" customHeight="false" outlineLevel="0" collapsed="false">
      <c r="A26" s="14" t="s">
        <v>157</v>
      </c>
      <c r="B26" s="22" t="n">
        <f aca="false">12.919</f>
        <v>12.919</v>
      </c>
      <c r="C26" s="4" t="s">
        <v>11</v>
      </c>
      <c r="D26" s="14"/>
    </row>
    <row r="27" customFormat="false" ht="15" hidden="false" customHeight="false" outlineLevel="0" collapsed="false">
      <c r="A27" s="14" t="s">
        <v>158</v>
      </c>
      <c r="B27" s="22" t="n">
        <f aca="false">7.115</f>
        <v>7.115</v>
      </c>
      <c r="C27" s="4" t="s">
        <v>11</v>
      </c>
      <c r="D27" s="14"/>
    </row>
    <row r="28" customFormat="false" ht="15" hidden="false" customHeight="false" outlineLevel="0" collapsed="false">
      <c r="A28" s="14" t="s">
        <v>159</v>
      </c>
      <c r="B28" s="22" t="n">
        <f aca="false">6.035</f>
        <v>6.035</v>
      </c>
      <c r="C28" s="4" t="s">
        <v>11</v>
      </c>
      <c r="D28" s="14"/>
    </row>
    <row r="29" customFormat="false" ht="15" hidden="false" customHeight="false" outlineLevel="0" collapsed="false">
      <c r="A29" s="14" t="s">
        <v>160</v>
      </c>
      <c r="B29" s="24" t="n">
        <f aca="false">ShortCircuit!$B$12/ShortCircuit!$B$26-1</f>
        <v>-0.000301454102388243</v>
      </c>
      <c r="C29" s="4"/>
      <c r="D29" s="14"/>
    </row>
    <row r="30" customFormat="false" ht="15" hidden="false" customHeight="false" outlineLevel="0" collapsed="false">
      <c r="A30" s="14" t="s">
        <v>161</v>
      </c>
      <c r="B30" s="24" t="n">
        <f aca="false">ShortCircuit!$B$13/ShortCircuit!$B$27-1</f>
        <v>-0.000141350602100743</v>
      </c>
      <c r="C30" s="4"/>
      <c r="D30" s="14"/>
    </row>
    <row r="31" customFormat="false" ht="23.85" hidden="false" customHeight="false" outlineLevel="0" collapsed="false">
      <c r="A31" s="14" t="s">
        <v>162</v>
      </c>
      <c r="B31" s="18" t="n">
        <f aca="false">18.641</f>
        <v>18.641</v>
      </c>
      <c r="C31" s="4" t="s">
        <v>11</v>
      </c>
      <c r="D31" s="14" t="s">
        <v>163</v>
      </c>
    </row>
    <row r="32" customFormat="false" ht="15" hidden="false" customHeight="false" outlineLevel="0" collapsed="false">
      <c r="A32" s="14" t="s">
        <v>164</v>
      </c>
      <c r="B32" s="22" t="n">
        <f aca="false">Inputs!$B$25/1000</f>
        <v>0.3</v>
      </c>
      <c r="C32" s="4" t="s">
        <v>11</v>
      </c>
      <c r="D32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</v>
      </c>
      <c r="D4" s="3" t="s">
        <v>46</v>
      </c>
    </row>
    <row r="5" customFormat="false" ht="15" hidden="false" customHeight="false" outlineLevel="0" collapsed="false">
      <c r="A5" s="12" t="s">
        <v>167</v>
      </c>
      <c r="B5" s="13"/>
      <c r="C5" s="13"/>
      <c r="D5" s="13"/>
    </row>
    <row r="6" customFormat="false" ht="15" hidden="false" customHeight="false" outlineLevel="0" collapsed="false">
      <c r="A6" s="14" t="s">
        <v>168</v>
      </c>
      <c r="B6" s="23" t="n">
        <f aca="false">IFERROR(INDEX(Std!$D$4:$D$6,COUNTIF(Std!$D$4:$D$6,"&lt;"&amp;((Inputs!$B$20+Inputs!$B$31)*Transformer!$B$13*Inputs!$B$32))+1),"EXCEEDS LIST")</f>
        <v>1250</v>
      </c>
      <c r="C6" s="4" t="s">
        <v>15</v>
      </c>
      <c r="D6" s="14" t="s">
        <v>169</v>
      </c>
    </row>
    <row r="7" customFormat="false" ht="15" hidden="false" customHeight="false" outlineLevel="0" collapsed="false">
      <c r="A7" s="14" t="s">
        <v>170</v>
      </c>
      <c r="B7" s="23" t="n">
        <f aca="false">IFERROR(INDEX(Std!$E$4:$E$8,COUNTIF(Std!$E$4:$E$8,"&lt;"&amp;(Transformer!$B$14*Inputs!$B$32))+1),"EXCEEDS LIST")</f>
        <v>1250</v>
      </c>
      <c r="C7" s="4" t="s">
        <v>15</v>
      </c>
      <c r="D7" s="14"/>
    </row>
    <row r="8" customFormat="false" ht="15" hidden="false" customHeight="false" outlineLevel="0" collapsed="false">
      <c r="A8" s="12" t="s">
        <v>171</v>
      </c>
      <c r="B8" s="13"/>
      <c r="C8" s="13"/>
      <c r="D8" s="13"/>
    </row>
    <row r="9" customFormat="false" ht="15" hidden="false" customHeight="false" outlineLevel="0" collapsed="false">
      <c r="A9" s="14" t="s">
        <v>172</v>
      </c>
      <c r="B9" s="23" t="n">
        <f aca="false">IFERROR(INDEX(Std!$D$4:$D$6,COUNTIF(Std!$D$4:$D$6,"&lt;"&amp;(Inputs!$B$20*Transformer!$B$13*Inputs!$B$32))+1),"EXCEEDS LIST")</f>
        <v>1250</v>
      </c>
      <c r="C9" s="4" t="s">
        <v>15</v>
      </c>
      <c r="D9" s="14" t="s">
        <v>173</v>
      </c>
    </row>
    <row r="10" customFormat="false" ht="15" hidden="false" customHeight="false" outlineLevel="0" collapsed="false">
      <c r="A10" s="14" t="s">
        <v>174</v>
      </c>
      <c r="B10" s="23" t="n">
        <f aca="false">IFERROR(INDEX(Std!$D$4:$D$6,COUNTIF(Std!$D$4:$D$6,"&lt;"&amp;(Transformer!$B$13*Inputs!$B$32))+1),"EXCEEDS LIST")</f>
        <v>1250</v>
      </c>
      <c r="C10" s="4" t="s">
        <v>15</v>
      </c>
      <c r="D10" s="14" t="s">
        <v>175</v>
      </c>
    </row>
    <row r="11" customFormat="false" ht="15" hidden="false" customHeight="false" outlineLevel="0" collapsed="false">
      <c r="A11" s="14" t="s">
        <v>176</v>
      </c>
      <c r="B11" s="23" t="n">
        <f aca="false">IFERROR(INDEX(Std!$E$4:$E$8,COUNTIF(Std!$E$4:$E$8,"&lt;"&amp;(Transformer!$B$14*1.1))+1),"EXCEEDS LIST")</f>
        <v>1250</v>
      </c>
      <c r="C11" s="4" t="s">
        <v>15</v>
      </c>
      <c r="D11" s="14"/>
    </row>
    <row r="12" customFormat="false" ht="15" hidden="false" customHeight="false" outlineLevel="0" collapsed="false">
      <c r="A12" s="14" t="s">
        <v>177</v>
      </c>
      <c r="B12" s="23" t="n">
        <f aca="false">IFERROR(INDEX(Std!$E$4:$E$8,COUNTIF(Std!$E$4:$E$8,"&lt;"&amp;(Transformer!$B$15*Inputs!$B$32))+1),"EXCEEDS LIST")</f>
        <v>630</v>
      </c>
      <c r="C12" s="4" t="s">
        <v>15</v>
      </c>
      <c r="D12" s="14"/>
    </row>
    <row r="13" customFormat="false" ht="15" hidden="false" customHeight="false" outlineLevel="0" collapsed="false">
      <c r="A13" s="14" t="s">
        <v>178</v>
      </c>
      <c r="B13" s="18" t="n">
        <f aca="false">ShortCircuit!$B$18</f>
        <v>31.5</v>
      </c>
      <c r="C13" s="4" t="s">
        <v>11</v>
      </c>
      <c r="D13" s="14" t="s">
        <v>179</v>
      </c>
    </row>
    <row r="14" customFormat="false" ht="15" hidden="false" customHeight="false" outlineLevel="0" collapsed="false">
      <c r="A14" s="14" t="s">
        <v>180</v>
      </c>
      <c r="B14" s="18" t="n">
        <f aca="false">ShortCircuit!$B$19</f>
        <v>25</v>
      </c>
      <c r="C14" s="4" t="s">
        <v>11</v>
      </c>
      <c r="D14" s="14" t="s">
        <v>181</v>
      </c>
    </row>
    <row r="15" customFormat="false" ht="15" hidden="false" customHeight="false" outlineLevel="0" collapsed="false">
      <c r="A15" s="12" t="s">
        <v>182</v>
      </c>
      <c r="B15" s="13"/>
      <c r="C15" s="13"/>
      <c r="D15" s="13"/>
    </row>
    <row r="16" customFormat="false" ht="15" hidden="false" customHeight="false" outlineLevel="0" collapsed="false">
      <c r="A16" s="14" t="s">
        <v>183</v>
      </c>
      <c r="B16" s="15" t="n">
        <v>650</v>
      </c>
      <c r="C16" s="4" t="s">
        <v>19</v>
      </c>
      <c r="D16" s="14" t="s">
        <v>184</v>
      </c>
    </row>
    <row r="17" customFormat="false" ht="15" hidden="false" customHeight="false" outlineLevel="0" collapsed="false">
      <c r="A17" s="14" t="s">
        <v>185</v>
      </c>
      <c r="B17" s="15" t="n">
        <v>275</v>
      </c>
      <c r="C17" s="4" t="s">
        <v>19</v>
      </c>
      <c r="D17" s="14"/>
    </row>
    <row r="18" customFormat="false" ht="15" hidden="false" customHeight="false" outlineLevel="0" collapsed="false">
      <c r="A18" s="14" t="s">
        <v>186</v>
      </c>
      <c r="B18" s="15" t="n">
        <v>170</v>
      </c>
      <c r="C18" s="4" t="s">
        <v>19</v>
      </c>
      <c r="D18" s="14" t="s">
        <v>187</v>
      </c>
    </row>
    <row r="19" customFormat="false" ht="15" hidden="false" customHeight="false" outlineLevel="0" collapsed="false">
      <c r="A19" s="14" t="s">
        <v>188</v>
      </c>
      <c r="B19" s="15" t="n">
        <v>70</v>
      </c>
      <c r="C19" s="4" t="s">
        <v>19</v>
      </c>
      <c r="D19" s="14"/>
    </row>
    <row r="20" customFormat="false" ht="15" hidden="false" customHeight="false" outlineLevel="0" collapsed="false">
      <c r="A20" s="14" t="s">
        <v>189</v>
      </c>
      <c r="B20" s="25" t="n">
        <f aca="false">ROUNDUP(0.8*Inputs!$B$7/6,0)*6</f>
        <v>120</v>
      </c>
      <c r="C20" s="4" t="s">
        <v>19</v>
      </c>
      <c r="D20" s="14" t="s">
        <v>190</v>
      </c>
    </row>
    <row r="21" customFormat="false" ht="23.85" hidden="false" customHeight="false" outlineLevel="0" collapsed="false">
      <c r="A21" s="14" t="s">
        <v>191</v>
      </c>
      <c r="B21" s="25" t="n">
        <f aca="false">Inputs!$B$9</f>
        <v>36</v>
      </c>
      <c r="C21" s="4" t="s">
        <v>19</v>
      </c>
      <c r="D21" s="14" t="s">
        <v>192</v>
      </c>
    </row>
    <row r="22" customFormat="false" ht="15" hidden="false" customHeight="false" outlineLevel="0" collapsed="false">
      <c r="A22" s="12" t="s">
        <v>193</v>
      </c>
      <c r="B22" s="13"/>
      <c r="C22" s="13"/>
      <c r="D22" s="13"/>
    </row>
    <row r="23" customFormat="false" ht="15" hidden="false" customHeight="false" outlineLevel="0" collapsed="false">
      <c r="A23" s="14" t="s">
        <v>194</v>
      </c>
      <c r="B23" s="23" t="n">
        <f aca="false">IFERROR(INDEX(Std!$F$4:$F$15,COUNTIF(Std!$F$4:$F$15,"&lt;"&amp;(Inputs!$B$20*Transformer!$B$13*Inputs!$B$33))+1),"EXCEEDS LIST")</f>
        <v>600</v>
      </c>
      <c r="C23" s="4" t="s">
        <v>17</v>
      </c>
      <c r="D23" s="14"/>
    </row>
    <row r="24" customFormat="false" ht="15" hidden="false" customHeight="false" outlineLevel="0" collapsed="false">
      <c r="A24" s="14" t="s">
        <v>195</v>
      </c>
      <c r="B24" s="23" t="n">
        <f aca="false">IFERROR(INDEX(Std!$F$4:$F$15,COUNTIF(Std!$F$4:$F$15,"&lt;"&amp;(Transformer!$B$13*Inputs!$B$33))+1),"EXCEEDS LIST")</f>
        <v>300</v>
      </c>
      <c r="C24" s="4" t="s">
        <v>17</v>
      </c>
      <c r="D24" s="14"/>
    </row>
    <row r="25" customFormat="false" ht="15" hidden="false" customHeight="false" outlineLevel="0" collapsed="false">
      <c r="A25" s="14" t="s">
        <v>196</v>
      </c>
      <c r="B25" s="23" t="n">
        <f aca="false">IFERROR(INDEX(Std!$F$4:$F$15,COUNTIF(Std!$F$4:$F$15,"&lt;"&amp;(Transformer!$B$14*Inputs!$B$33))+1),"EXCEEDS LIST")</f>
        <v>1200</v>
      </c>
      <c r="C25" s="4" t="s">
        <v>17</v>
      </c>
      <c r="D25" s="14"/>
    </row>
    <row r="26" customFormat="false" ht="15" hidden="false" customHeight="false" outlineLevel="0" collapsed="false">
      <c r="A26" s="14" t="s">
        <v>197</v>
      </c>
      <c r="B26" s="23" t="n">
        <f aca="false">IFERROR(INDEX(Std!$F$4:$F$15,COUNTIF(Std!$F$4:$F$15,"&lt;"&amp;(Transformer!$B$15*Inputs!$B$33))+1),"EXCEEDS LIST")</f>
        <v>200</v>
      </c>
      <c r="C26" s="4" t="s">
        <v>17</v>
      </c>
      <c r="D26" s="14"/>
    </row>
    <row r="27" customFormat="false" ht="15" hidden="false" customHeight="false" outlineLevel="0" collapsed="false">
      <c r="A27" s="14" t="s">
        <v>198</v>
      </c>
      <c r="B27" s="23" t="n">
        <f aca="false">IFERROR(INDEX(Std!$F$4:$F$15,COUNTIF(Std!$F$4:$F$15,"&lt;"&amp;(Inputs!$B$25*1.2))+1),"EXCEEDS LIST")</f>
        <v>400</v>
      </c>
      <c r="C27" s="4" t="s">
        <v>17</v>
      </c>
      <c r="D27" s="14"/>
    </row>
    <row r="28" customFormat="false" ht="15" hidden="false" customHeight="false" outlineLevel="0" collapsed="false">
      <c r="A28" s="14" t="s">
        <v>199</v>
      </c>
      <c r="B28" s="18" t="n">
        <f aca="false">ShortCircuit!$B$18</f>
        <v>31.5</v>
      </c>
      <c r="C28" s="4" t="s">
        <v>11</v>
      </c>
      <c r="D28" s="14" t="s">
        <v>200</v>
      </c>
    </row>
    <row r="29" customFormat="false" ht="15" hidden="false" customHeight="false" outlineLevel="0" collapsed="false">
      <c r="A29" s="12" t="s">
        <v>201</v>
      </c>
      <c r="B29" s="13"/>
      <c r="C29" s="13"/>
      <c r="D29" s="13"/>
    </row>
    <row r="30" customFormat="false" ht="15" hidden="false" customHeight="false" outlineLevel="0" collapsed="false">
      <c r="A30" s="14" t="s">
        <v>202</v>
      </c>
      <c r="B30" s="26" t="n">
        <v>3</v>
      </c>
      <c r="C30" s="4" t="s">
        <v>22</v>
      </c>
      <c r="D30" s="14" t="s">
        <v>203</v>
      </c>
    </row>
    <row r="31" customFormat="false" ht="15" hidden="false" customHeight="false" outlineLevel="0" collapsed="false">
      <c r="A31" s="14" t="s">
        <v>204</v>
      </c>
      <c r="B31" s="26" t="n">
        <v>2.2</v>
      </c>
      <c r="C31" s="4" t="s">
        <v>22</v>
      </c>
      <c r="D31" s="14" t="s">
        <v>205</v>
      </c>
    </row>
    <row r="32" customFormat="false" ht="15" hidden="false" customHeight="false" outlineLevel="0" collapsed="false">
      <c r="A32" s="14" t="s">
        <v>206</v>
      </c>
      <c r="B32" s="17" t="n">
        <v>0.05</v>
      </c>
      <c r="C32" s="4" t="s">
        <v>22</v>
      </c>
      <c r="D32" s="14" t="s">
        <v>207</v>
      </c>
    </row>
    <row r="33" customFormat="false" ht="15" hidden="false" customHeight="false" outlineLevel="0" collapsed="false">
      <c r="A33" s="14" t="s">
        <v>208</v>
      </c>
      <c r="B33" s="23" t="n">
        <f aca="false">ShortCircuit!$B$12*1000*Inputs!$B$8/Inputs!$B$6</f>
        <v>3228.77637861281</v>
      </c>
      <c r="C33" s="4" t="s">
        <v>15</v>
      </c>
      <c r="D33" s="14" t="s">
        <v>209</v>
      </c>
    </row>
    <row r="34" customFormat="false" ht="15" hidden="false" customHeight="false" outlineLevel="0" collapsed="false">
      <c r="A34" s="14" t="s">
        <v>210</v>
      </c>
      <c r="B34" s="18" t="n">
        <f aca="false">Equipment!$B$33/Equipment!$B$24</f>
        <v>10.7625879287094</v>
      </c>
      <c r="C34" s="4" t="s">
        <v>15</v>
      </c>
      <c r="D34" s="14"/>
    </row>
    <row r="35" customFormat="false" ht="15" hidden="false" customHeight="false" outlineLevel="0" collapsed="false">
      <c r="A35" s="14" t="s">
        <v>211</v>
      </c>
      <c r="B35" s="25" t="n">
        <f aca="false">2*Equipment!$B$34*(Equipment!$B$30+Equipment!$B$31+Equipment!$B$32)</f>
        <v>113.007173251448</v>
      </c>
      <c r="C35" s="4" t="s">
        <v>24</v>
      </c>
      <c r="D35" s="14" t="s">
        <v>212</v>
      </c>
    </row>
    <row r="36" customFormat="false" ht="15" hidden="false" customHeight="false" outlineLevel="0" collapsed="false">
      <c r="A36" s="14" t="s">
        <v>213</v>
      </c>
      <c r="B36" s="25" t="n">
        <f aca="false">IFERROR(INDEX(Std!$G$4:$G$10,COUNTIF(Std!$G$4:$G$10,"&lt;"&amp;(Equipment!$B$35))+1),"EXCEEDS LIST")</f>
        <v>200</v>
      </c>
      <c r="C36" s="4" t="s">
        <v>24</v>
      </c>
      <c r="D36" s="14" t="s">
        <v>214</v>
      </c>
    </row>
    <row r="37" customFormat="false" ht="15" hidden="false" customHeight="false" outlineLevel="0" collapsed="false">
      <c r="A37" s="12" t="s">
        <v>215</v>
      </c>
      <c r="B37" s="13"/>
      <c r="C37" s="13"/>
      <c r="D37" s="13"/>
    </row>
    <row r="38" customFormat="false" ht="15" hidden="false" customHeight="false" outlineLevel="0" collapsed="false">
      <c r="A38" s="14" t="s">
        <v>216</v>
      </c>
      <c r="B38" s="15" t="n">
        <v>50</v>
      </c>
      <c r="C38" s="4" t="s">
        <v>217</v>
      </c>
      <c r="D38" s="14" t="s">
        <v>218</v>
      </c>
    </row>
    <row r="39" customFormat="false" ht="15" hidden="false" customHeight="false" outlineLevel="0" collapsed="false">
      <c r="A39" s="14" t="s">
        <v>219</v>
      </c>
      <c r="B39" s="15" t="n">
        <v>100</v>
      </c>
      <c r="C39" s="4" t="s">
        <v>217</v>
      </c>
      <c r="D39" s="14"/>
    </row>
    <row r="40" customFormat="false" ht="23.85" hidden="false" customHeight="false" outlineLevel="0" collapsed="false">
      <c r="A40" s="14" t="s">
        <v>220</v>
      </c>
      <c r="B40" s="15" t="n">
        <v>16</v>
      </c>
      <c r="C40" s="4" t="s">
        <v>217</v>
      </c>
      <c r="D40" s="14" t="s">
        <v>221</v>
      </c>
    </row>
    <row r="41" customFormat="false" ht="23.85" hidden="false" customHeight="false" outlineLevel="0" collapsed="false">
      <c r="A41" s="14" t="s">
        <v>222</v>
      </c>
      <c r="B41" s="15" t="n">
        <v>30</v>
      </c>
      <c r="C41" s="4" t="s">
        <v>217</v>
      </c>
      <c r="D41" s="14" t="s">
        <v>221</v>
      </c>
    </row>
    <row r="42" customFormat="false" ht="15" hidden="false" customHeight="false" outlineLevel="0" collapsed="false">
      <c r="A42" s="14" t="s">
        <v>223</v>
      </c>
      <c r="B42" s="19" t="n">
        <f aca="false">Equipment!$B$40/Equipment!$B$38</f>
        <v>0.32</v>
      </c>
      <c r="C42" s="4"/>
      <c r="D42" s="14"/>
    </row>
    <row r="43" customFormat="false" ht="15" hidden="false" customHeight="false" outlineLevel="0" collapsed="false">
      <c r="A43" s="14" t="s">
        <v>224</v>
      </c>
      <c r="B43" s="19" t="n">
        <f aca="false">Equipment!$B$41/Equipment!$B$39</f>
        <v>0.3</v>
      </c>
      <c r="C43" s="4"/>
      <c r="D43" s="14"/>
    </row>
    <row r="44" customFormat="false" ht="15" hidden="false" customHeight="false" outlineLevel="0" collapsed="false">
      <c r="A44" s="14" t="s">
        <v>225</v>
      </c>
      <c r="B44" s="27" t="str">
        <f aca="false">IF(AND(Equipment!$B$42&gt;=0.25,Equipment!$B$42&lt;=1,Equipment!$B$43&gt;=0.25,Equipment!$B$43&lt;=1),"OK","CHECK")</f>
        <v>OK</v>
      </c>
      <c r="C44" s="4"/>
      <c r="D44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</v>
      </c>
      <c r="D4" s="3" t="s">
        <v>46</v>
      </c>
    </row>
    <row r="5" customFormat="false" ht="15" hidden="false" customHeight="false" outlineLevel="0" collapsed="false">
      <c r="A5" s="12" t="s">
        <v>228</v>
      </c>
      <c r="B5" s="13"/>
      <c r="C5" s="13"/>
      <c r="D5" s="13"/>
    </row>
    <row r="6" customFormat="false" ht="15" hidden="false" customHeight="false" outlineLevel="0" collapsed="false">
      <c r="A6" s="14" t="s">
        <v>229</v>
      </c>
      <c r="B6" s="15" t="n">
        <v>200</v>
      </c>
      <c r="C6" s="4" t="s">
        <v>15</v>
      </c>
      <c r="D6" s="14" t="s">
        <v>230</v>
      </c>
    </row>
    <row r="7" customFormat="false" ht="15" hidden="false" customHeight="false" outlineLevel="0" collapsed="false">
      <c r="A7" s="14" t="s">
        <v>231</v>
      </c>
      <c r="B7" s="15" t="n">
        <v>175</v>
      </c>
      <c r="C7" s="4" t="s">
        <v>15</v>
      </c>
      <c r="D7" s="14" t="s">
        <v>232</v>
      </c>
    </row>
    <row r="8" customFormat="false" ht="15" hidden="false" customHeight="false" outlineLevel="0" collapsed="false">
      <c r="A8" s="14" t="s">
        <v>233</v>
      </c>
      <c r="B8" s="17" t="n">
        <v>0.1</v>
      </c>
      <c r="C8" s="4"/>
      <c r="D8" s="14"/>
    </row>
    <row r="9" customFormat="false" ht="15" hidden="false" customHeight="false" outlineLevel="0" collapsed="false">
      <c r="A9" s="14" t="s">
        <v>234</v>
      </c>
      <c r="B9" s="15" t="n">
        <v>1600</v>
      </c>
      <c r="C9" s="4" t="s">
        <v>15</v>
      </c>
      <c r="D9" s="14" t="s">
        <v>235</v>
      </c>
    </row>
    <row r="10" customFormat="false" ht="15" hidden="false" customHeight="false" outlineLevel="0" collapsed="false">
      <c r="A10" s="12" t="s">
        <v>236</v>
      </c>
      <c r="B10" s="13"/>
      <c r="C10" s="13"/>
      <c r="D10" s="13"/>
    </row>
    <row r="11" customFormat="false" ht="15" hidden="false" customHeight="false" outlineLevel="0" collapsed="false">
      <c r="A11" s="14" t="s">
        <v>231</v>
      </c>
      <c r="B11" s="15" t="n">
        <v>1050</v>
      </c>
      <c r="C11" s="4" t="s">
        <v>15</v>
      </c>
      <c r="D11" s="14" t="s">
        <v>237</v>
      </c>
    </row>
    <row r="12" customFormat="false" ht="15" hidden="false" customHeight="false" outlineLevel="0" collapsed="false">
      <c r="A12" s="14" t="s">
        <v>233</v>
      </c>
      <c r="B12" s="17" t="n">
        <v>0.2</v>
      </c>
      <c r="C12" s="4"/>
      <c r="D12" s="14"/>
    </row>
    <row r="13" customFormat="false" ht="15" hidden="false" customHeight="false" outlineLevel="0" collapsed="false">
      <c r="A13" s="12" t="s">
        <v>238</v>
      </c>
      <c r="B13" s="13"/>
      <c r="C13" s="13"/>
      <c r="D13" s="13"/>
    </row>
    <row r="14" customFormat="false" ht="15" hidden="false" customHeight="false" outlineLevel="0" collapsed="false">
      <c r="A14" s="14" t="s">
        <v>239</v>
      </c>
      <c r="B14" s="25" t="n">
        <f aca="false">ROUNDUP(1.2*Transformer!$B$13/10,0)*10</f>
        <v>270</v>
      </c>
      <c r="C14" s="4" t="s">
        <v>15</v>
      </c>
      <c r="D14" s="14"/>
    </row>
    <row r="15" customFormat="false" ht="15" hidden="false" customHeight="false" outlineLevel="0" collapsed="false">
      <c r="A15" s="14" t="s">
        <v>233</v>
      </c>
      <c r="B15" s="17" t="n">
        <v>0.3</v>
      </c>
      <c r="C15" s="4"/>
      <c r="D15" s="14"/>
    </row>
    <row r="16" customFormat="false" ht="15" hidden="false" customHeight="false" outlineLevel="0" collapsed="false">
      <c r="A16" s="14" t="s">
        <v>240</v>
      </c>
      <c r="B16" s="23" t="n">
        <f aca="false">ROUNDUP(1.3*ShortCircuit!$B$12*1000*Inputs!$B$8/Inputs!$B$6/100,0)*100</f>
        <v>4200</v>
      </c>
      <c r="C16" s="4" t="s">
        <v>15</v>
      </c>
      <c r="D16" s="14" t="s">
        <v>241</v>
      </c>
    </row>
    <row r="17" customFormat="false" ht="15" hidden="false" customHeight="false" outlineLevel="0" collapsed="false">
      <c r="A17" s="12" t="s">
        <v>242</v>
      </c>
      <c r="B17" s="13"/>
      <c r="C17" s="13"/>
      <c r="D17" s="13"/>
    </row>
    <row r="18" customFormat="false" ht="15" hidden="false" customHeight="false" outlineLevel="0" collapsed="false">
      <c r="A18" s="14" t="s">
        <v>243</v>
      </c>
      <c r="B18" s="23" t="n">
        <f aca="false">ShortCircuit!$B$12*1000</f>
        <v>12915.1055144512</v>
      </c>
      <c r="C18" s="4" t="s">
        <v>15</v>
      </c>
      <c r="D18" s="14"/>
    </row>
    <row r="19" customFormat="false" ht="15" hidden="false" customHeight="false" outlineLevel="0" collapsed="false">
      <c r="A19" s="14" t="s">
        <v>244</v>
      </c>
      <c r="B19" s="23" t="n">
        <f aca="false">ShortCircuit!$B$13*1000</f>
        <v>7113.99429046605</v>
      </c>
      <c r="C19" s="4" t="s">
        <v>15</v>
      </c>
      <c r="D19" s="14"/>
    </row>
    <row r="20" customFormat="false" ht="15" hidden="false" customHeight="false" outlineLevel="0" collapsed="false">
      <c r="A20" s="14" t="s">
        <v>245</v>
      </c>
      <c r="B20" s="23" t="n">
        <f aca="false">ShortCircuit!$B$14*1000</f>
        <v>6032.91817335032</v>
      </c>
      <c r="C20" s="4" t="s">
        <v>15</v>
      </c>
      <c r="D20" s="14"/>
    </row>
    <row r="21" customFormat="false" ht="15" hidden="false" customHeight="false" outlineLevel="0" collapsed="false">
      <c r="A21" s="14" t="s">
        <v>246</v>
      </c>
      <c r="B21" s="21" t="n">
        <f aca="false">Protection!$B$8*0.14/((Protection!$B$18/Protection!$B$7)^0.02-1)</f>
        <v>0.155839318400523</v>
      </c>
      <c r="C21" s="4" t="s">
        <v>87</v>
      </c>
      <c r="D21" s="14"/>
    </row>
    <row r="22" customFormat="false" ht="15" hidden="false" customHeight="false" outlineLevel="0" collapsed="false">
      <c r="A22" s="14" t="s">
        <v>247</v>
      </c>
      <c r="B22" s="21" t="n">
        <f aca="false">Protection!$B$12*0.14/((Protection!$B$18/2/Protection!$B$11)^0.02-1)</f>
        <v>0.756814540680898</v>
      </c>
      <c r="C22" s="4" t="s">
        <v>87</v>
      </c>
      <c r="D22" s="14" t="s">
        <v>248</v>
      </c>
    </row>
    <row r="23" customFormat="false" ht="15" hidden="false" customHeight="false" outlineLevel="0" collapsed="false">
      <c r="A23" s="14" t="s">
        <v>249</v>
      </c>
      <c r="B23" s="21" t="n">
        <f aca="false">Protection!$B$15*0.14/((Protection!$B$18/2*Inputs!$B$8/Inputs!$B$6/Protection!$B$14)^0.02-1)</f>
        <v>1.15343176894282</v>
      </c>
      <c r="C23" s="4" t="s">
        <v>87</v>
      </c>
      <c r="D23" s="14"/>
    </row>
    <row r="24" customFormat="false" ht="15" hidden="false" customHeight="false" outlineLevel="0" collapsed="false">
      <c r="A24" s="14" t="s">
        <v>250</v>
      </c>
      <c r="B24" s="21" t="n">
        <f aca="false">Protection!$B$22-Protection!$B$21</f>
        <v>0.600975222280375</v>
      </c>
      <c r="C24" s="4" t="s">
        <v>87</v>
      </c>
      <c r="D24" s="14" t="s">
        <v>251</v>
      </c>
    </row>
    <row r="25" customFormat="false" ht="15" hidden="false" customHeight="false" outlineLevel="0" collapsed="false">
      <c r="A25" s="14" t="s">
        <v>252</v>
      </c>
      <c r="B25" s="21" t="n">
        <f aca="false">Protection!$B$23-Protection!$B$22</f>
        <v>0.396617228261925</v>
      </c>
      <c r="C25" s="4" t="s">
        <v>87</v>
      </c>
      <c r="D25" s="14" t="s">
        <v>251</v>
      </c>
    </row>
    <row r="26" customFormat="false" ht="15" hidden="false" customHeight="false" outlineLevel="0" collapsed="false">
      <c r="A26" s="14" t="s">
        <v>253</v>
      </c>
      <c r="B26" s="21" t="n">
        <f aca="false">Protection!$B$8*0.14/((Protection!$B$19/Protection!$B$7)^0.02-1)</f>
        <v>0.182018624235936</v>
      </c>
      <c r="C26" s="4" t="s">
        <v>87</v>
      </c>
      <c r="D26" s="14"/>
    </row>
    <row r="27" customFormat="false" ht="15" hidden="false" customHeight="false" outlineLevel="0" collapsed="false">
      <c r="A27" s="14" t="s">
        <v>254</v>
      </c>
      <c r="B27" s="21" t="n">
        <f aca="false">Protection!$B$12*0.14/((Protection!$B$19/Protection!$B$11)^0.02-1)</f>
        <v>0.717819404421627</v>
      </c>
      <c r="C27" s="4" t="s">
        <v>87</v>
      </c>
      <c r="D27" s="14"/>
    </row>
    <row r="28" customFormat="false" ht="15" hidden="false" customHeight="false" outlineLevel="0" collapsed="false">
      <c r="A28" s="14" t="s">
        <v>255</v>
      </c>
      <c r="B28" s="21" t="n">
        <f aca="false">Protection!$B$15*0.14/((Protection!$B$19*Inputs!$B$8/Inputs!$B$6/Protection!$B$14)^0.02-1)</f>
        <v>1.09312953913146</v>
      </c>
      <c r="C28" s="4" t="s">
        <v>87</v>
      </c>
      <c r="D28" s="14"/>
    </row>
    <row r="29" customFormat="false" ht="15" hidden="false" customHeight="false" outlineLevel="0" collapsed="false">
      <c r="A29" s="14" t="s">
        <v>256</v>
      </c>
      <c r="B29" s="21" t="n">
        <f aca="false">Protection!$B$27-Protection!$B$26</f>
        <v>0.535800780185691</v>
      </c>
      <c r="C29" s="4" t="s">
        <v>87</v>
      </c>
      <c r="D29" s="14"/>
    </row>
    <row r="30" customFormat="false" ht="15" hidden="false" customHeight="false" outlineLevel="0" collapsed="false">
      <c r="A30" s="14" t="s">
        <v>257</v>
      </c>
      <c r="B30" s="21" t="n">
        <f aca="false">Protection!$B$28-Protection!$B$27</f>
        <v>0.375310134709837</v>
      </c>
      <c r="C30" s="4" t="s">
        <v>87</v>
      </c>
      <c r="D30" s="14"/>
    </row>
    <row r="31" customFormat="false" ht="15" hidden="false" customHeight="false" outlineLevel="0" collapsed="false">
      <c r="A31" s="14" t="s">
        <v>258</v>
      </c>
      <c r="B31" s="27" t="str">
        <f aca="false">IF(MIN(Protection!$B$24,Protection!$B$25,Protection!$B$29,Protection!$B$30)&gt;=0.3,"OK","INCREASE TMS")</f>
        <v>OK</v>
      </c>
      <c r="C31" s="4"/>
      <c r="D31" s="14"/>
    </row>
    <row r="32" customFormat="false" ht="15" hidden="false" customHeight="false" outlineLevel="0" collapsed="false">
      <c r="A32" s="14" t="s">
        <v>259</v>
      </c>
      <c r="B32" s="18" t="n">
        <f aca="false">Protection!$B$19/(Transformer!$B$14)</f>
        <v>8.13238770685579</v>
      </c>
      <c r="C32" s="4" t="s">
        <v>116</v>
      </c>
      <c r="D32" s="14" t="s">
        <v>260</v>
      </c>
    </row>
    <row r="33" customFormat="false" ht="15" hidden="false" customHeight="false" outlineLevel="0" collapsed="false">
      <c r="A33" s="14" t="s">
        <v>261</v>
      </c>
      <c r="B33" s="22" t="n">
        <f aca="false">Protection!$B$28</f>
        <v>1.09312953913146</v>
      </c>
      <c r="C33" s="4" t="s">
        <v>87</v>
      </c>
      <c r="D33" s="14" t="s">
        <v>262</v>
      </c>
    </row>
    <row r="34" customFormat="false" ht="15" hidden="false" customHeight="false" outlineLevel="0" collapsed="false">
      <c r="A34" s="14" t="s">
        <v>263</v>
      </c>
      <c r="B34" s="27" t="str">
        <f aca="false">IF(Protection!$B$28&lt;2,"OK","FAIL")</f>
        <v>OK</v>
      </c>
      <c r="C34" s="4"/>
      <c r="D34" s="14"/>
    </row>
    <row r="35" customFormat="false" ht="15" hidden="false" customHeight="false" outlineLevel="0" collapsed="false">
      <c r="A35" s="12" t="s">
        <v>264</v>
      </c>
      <c r="B35" s="13"/>
      <c r="C35" s="13"/>
      <c r="D35" s="13"/>
    </row>
    <row r="36" customFormat="false" ht="15" hidden="false" customHeight="false" outlineLevel="0" collapsed="false">
      <c r="A36" s="14" t="s">
        <v>265</v>
      </c>
      <c r="B36" s="15" t="n">
        <v>30</v>
      </c>
      <c r="C36" s="4" t="s">
        <v>15</v>
      </c>
      <c r="D36" s="14" t="s">
        <v>266</v>
      </c>
    </row>
    <row r="37" customFormat="false" ht="15" hidden="false" customHeight="false" outlineLevel="0" collapsed="false">
      <c r="A37" s="14" t="s">
        <v>267</v>
      </c>
      <c r="B37" s="17" t="n">
        <v>0.1</v>
      </c>
      <c r="C37" s="4"/>
      <c r="D37" s="14"/>
    </row>
    <row r="38" customFormat="false" ht="15" hidden="false" customHeight="false" outlineLevel="0" collapsed="false">
      <c r="A38" s="14" t="s">
        <v>268</v>
      </c>
      <c r="B38" s="15" t="n">
        <v>60</v>
      </c>
      <c r="C38" s="4" t="s">
        <v>15</v>
      </c>
      <c r="D38" s="14" t="s">
        <v>269</v>
      </c>
    </row>
    <row r="39" customFormat="false" ht="15" hidden="false" customHeight="false" outlineLevel="0" collapsed="false">
      <c r="A39" s="14" t="s">
        <v>270</v>
      </c>
      <c r="B39" s="17" t="n">
        <v>0.2</v>
      </c>
      <c r="C39" s="4"/>
      <c r="D39" s="14"/>
    </row>
    <row r="40" customFormat="false" ht="15" hidden="false" customHeight="false" outlineLevel="0" collapsed="false">
      <c r="A40" s="14" t="s">
        <v>271</v>
      </c>
      <c r="B40" s="21" t="n">
        <f aca="false">Protection!$B$37*0.14/((Inputs!$B$25/Protection!$B$36)^0.02-1)</f>
        <v>0.297059862418842</v>
      </c>
      <c r="C40" s="4" t="s">
        <v>87</v>
      </c>
      <c r="D40" s="14"/>
    </row>
    <row r="41" customFormat="false" ht="15" hidden="false" customHeight="false" outlineLevel="0" collapsed="false">
      <c r="A41" s="14" t="s">
        <v>272</v>
      </c>
      <c r="B41" s="21" t="n">
        <f aca="false">Protection!$B$39*0.14/((Inputs!$B$25/Protection!$B$38)^0.02-1)</f>
        <v>0.855944014189075</v>
      </c>
      <c r="C41" s="4" t="s">
        <v>87</v>
      </c>
      <c r="D41" s="14"/>
    </row>
    <row r="42" customFormat="false" ht="15" hidden="false" customHeight="false" outlineLevel="0" collapsed="false">
      <c r="A42" s="14" t="s">
        <v>273</v>
      </c>
      <c r="B42" s="21" t="n">
        <f aca="false">Protection!$B$41-Protection!$B$40</f>
        <v>0.558884151770233</v>
      </c>
      <c r="C42" s="4" t="s">
        <v>87</v>
      </c>
      <c r="D42" s="14" t="s">
        <v>251</v>
      </c>
    </row>
    <row r="43" customFormat="false" ht="15" hidden="false" customHeight="false" outlineLevel="0" collapsed="false">
      <c r="A43" s="14" t="s">
        <v>274</v>
      </c>
      <c r="B43" s="27" t="str">
        <f aca="false">IF(Protection!$B$42&gt;=0.3,"OK","INCREASE TMS")</f>
        <v>OK</v>
      </c>
      <c r="C43" s="4"/>
      <c r="D43" s="14"/>
    </row>
    <row r="44" customFormat="false" ht="15" hidden="false" customHeight="false" outlineLevel="0" collapsed="false">
      <c r="A44" s="12" t="s">
        <v>275</v>
      </c>
      <c r="B44" s="13"/>
      <c r="C44" s="13"/>
      <c r="D44" s="13"/>
    </row>
    <row r="45" customFormat="false" ht="15" hidden="false" customHeight="false" outlineLevel="0" collapsed="false">
      <c r="A45" s="14" t="s">
        <v>276</v>
      </c>
      <c r="B45" s="21" t="n">
        <f aca="false">Transformer!$B$13/Equipment!$B$24</f>
        <v>0.728977612613164</v>
      </c>
      <c r="C45" s="4" t="s">
        <v>15</v>
      </c>
      <c r="D45" s="14"/>
    </row>
    <row r="46" customFormat="false" ht="15" hidden="false" customHeight="false" outlineLevel="0" collapsed="false">
      <c r="A46" s="14" t="s">
        <v>277</v>
      </c>
      <c r="B46" s="21" t="n">
        <f aca="false">Transformer!$B$14/Equipment!$B$25</f>
        <v>0.728977612613164</v>
      </c>
      <c r="C46" s="4" t="s">
        <v>15</v>
      </c>
      <c r="D46" s="14"/>
    </row>
    <row r="47" customFormat="false" ht="15" hidden="false" customHeight="false" outlineLevel="0" collapsed="false">
      <c r="A47" s="14" t="s">
        <v>278</v>
      </c>
      <c r="B47" s="21" t="n">
        <f aca="false">Protection!$B$46/Protection!$B$45</f>
        <v>1</v>
      </c>
      <c r="C47" s="4"/>
      <c r="D47" s="14" t="s">
        <v>279</v>
      </c>
    </row>
    <row r="48" customFormat="false" ht="15" hidden="false" customHeight="false" outlineLevel="0" collapsed="false">
      <c r="A48" s="14" t="s">
        <v>280</v>
      </c>
      <c r="B48" s="17" t="n">
        <v>0.2</v>
      </c>
      <c r="C48" s="4" t="s">
        <v>116</v>
      </c>
      <c r="D48" s="14"/>
    </row>
    <row r="49" customFormat="false" ht="15" hidden="false" customHeight="false" outlineLevel="0" collapsed="false">
      <c r="A49" s="14" t="s">
        <v>281</v>
      </c>
      <c r="B49" s="15" t="n">
        <v>25</v>
      </c>
      <c r="C49" s="4" t="s">
        <v>75</v>
      </c>
      <c r="D49" s="14"/>
    </row>
    <row r="50" customFormat="false" ht="15" hidden="false" customHeight="false" outlineLevel="0" collapsed="false">
      <c r="A50" s="14" t="s">
        <v>282</v>
      </c>
      <c r="B50" s="15" t="n">
        <v>50</v>
      </c>
      <c r="C50" s="4" t="s">
        <v>75</v>
      </c>
      <c r="D50" s="14"/>
    </row>
    <row r="51" customFormat="false" ht="15" hidden="false" customHeight="false" outlineLevel="0" collapsed="false">
      <c r="A51" s="14" t="s">
        <v>283</v>
      </c>
      <c r="B51" s="15" t="n">
        <v>15</v>
      </c>
      <c r="C51" s="4" t="s">
        <v>75</v>
      </c>
      <c r="D51" s="14"/>
    </row>
    <row r="52" customFormat="false" ht="15" hidden="false" customHeight="false" outlineLevel="0" collapsed="false">
      <c r="A52" s="14" t="s">
        <v>284</v>
      </c>
      <c r="B52" s="15" t="n">
        <v>35</v>
      </c>
      <c r="C52" s="4" t="s">
        <v>75</v>
      </c>
      <c r="D52" s="14"/>
    </row>
    <row r="53" customFormat="false" ht="15" hidden="false" customHeight="false" outlineLevel="0" collapsed="false">
      <c r="A53" s="14" t="s">
        <v>285</v>
      </c>
      <c r="B53" s="15" t="n">
        <v>8</v>
      </c>
      <c r="C53" s="4" t="s">
        <v>116</v>
      </c>
      <c r="D53" s="14" t="s">
        <v>286</v>
      </c>
    </row>
    <row r="54" customFormat="false" ht="15" hidden="false" customHeight="false" outlineLevel="0" collapsed="false">
      <c r="A54" s="12" t="s">
        <v>287</v>
      </c>
      <c r="B54" s="13"/>
      <c r="C54" s="13"/>
      <c r="D54" s="13"/>
    </row>
    <row r="55" customFormat="false" ht="15" hidden="false" customHeight="false" outlineLevel="0" collapsed="false">
      <c r="A55" s="14" t="s">
        <v>288</v>
      </c>
      <c r="B55" s="17" t="n">
        <v>0.14</v>
      </c>
      <c r="C55" s="4" t="s">
        <v>289</v>
      </c>
      <c r="D55" s="14" t="s">
        <v>290</v>
      </c>
    </row>
    <row r="56" customFormat="false" ht="15" hidden="false" customHeight="false" outlineLevel="0" collapsed="false">
      <c r="A56" s="14" t="s">
        <v>291</v>
      </c>
      <c r="B56" s="17" t="n">
        <v>0.4</v>
      </c>
      <c r="C56" s="4" t="s">
        <v>289</v>
      </c>
      <c r="D56" s="14"/>
    </row>
    <row r="57" customFormat="false" ht="15" hidden="false" customHeight="false" outlineLevel="0" collapsed="false">
      <c r="A57" s="14" t="s">
        <v>292</v>
      </c>
      <c r="B57" s="15" t="n">
        <v>30</v>
      </c>
      <c r="C57" s="4" t="s">
        <v>293</v>
      </c>
      <c r="D57" s="14"/>
    </row>
    <row r="58" customFormat="false" ht="15" hidden="false" customHeight="false" outlineLevel="0" collapsed="false">
      <c r="A58" s="14" t="s">
        <v>294</v>
      </c>
      <c r="B58" s="15" t="n">
        <v>20</v>
      </c>
      <c r="C58" s="4" t="s">
        <v>293</v>
      </c>
      <c r="D58" s="14"/>
    </row>
    <row r="59" customFormat="false" ht="15" hidden="false" customHeight="false" outlineLevel="0" collapsed="false">
      <c r="A59" s="14" t="s">
        <v>295</v>
      </c>
      <c r="B59" s="22" t="n">
        <f aca="false">SQRT((Protection!$B$55*Protection!$B$57)^2+(Protection!$B$56*Protection!$B$57)^2)</f>
        <v>12.7137720602503</v>
      </c>
      <c r="C59" s="4" t="s">
        <v>22</v>
      </c>
      <c r="D59" s="14"/>
    </row>
    <row r="60" customFormat="false" ht="15" hidden="false" customHeight="false" outlineLevel="0" collapsed="false">
      <c r="A60" s="14" t="s">
        <v>296</v>
      </c>
      <c r="B60" s="22" t="n">
        <f aca="false">SQRT((Protection!$B$55*Protection!$B$58)^2+(Protection!$B$56*Protection!$B$58)^2)</f>
        <v>8.47584804016684</v>
      </c>
      <c r="C60" s="4" t="s">
        <v>22</v>
      </c>
      <c r="D60" s="14"/>
    </row>
    <row r="61" customFormat="false" ht="15" hidden="false" customHeight="false" outlineLevel="0" collapsed="false">
      <c r="A61" s="14" t="s">
        <v>297</v>
      </c>
      <c r="B61" s="21" t="n">
        <f aca="false">Equipment!$B$23/(Inputs!$B$6*1000/110)</f>
        <v>0.5</v>
      </c>
      <c r="C61" s="4"/>
      <c r="D61" s="14"/>
    </row>
    <row r="62" customFormat="false" ht="15" hidden="false" customHeight="false" outlineLevel="0" collapsed="false">
      <c r="A62" s="14" t="s">
        <v>298</v>
      </c>
      <c r="B62" s="22" t="n">
        <f aca="false">0.8*Protection!$B$59*Protection!$B$61</f>
        <v>5.0855088241001</v>
      </c>
      <c r="C62" s="4" t="s">
        <v>299</v>
      </c>
      <c r="D62" s="14"/>
    </row>
    <row r="63" customFormat="false" ht="15" hidden="false" customHeight="false" outlineLevel="0" collapsed="false">
      <c r="A63" s="14" t="s">
        <v>300</v>
      </c>
      <c r="B63" s="22" t="n">
        <f aca="false">1.2*Protection!$B$59*Protection!$B$61</f>
        <v>7.62826323615015</v>
      </c>
      <c r="C63" s="4" t="s">
        <v>299</v>
      </c>
      <c r="D63" s="14"/>
    </row>
    <row r="64" customFormat="false" ht="15" hidden="false" customHeight="false" outlineLevel="0" collapsed="false">
      <c r="A64" s="14" t="s">
        <v>301</v>
      </c>
      <c r="B64" s="22" t="n">
        <f aca="false">(Protection!$B$59+1.2*Protection!$B$60)*Protection!$B$61</f>
        <v>11.4423948542252</v>
      </c>
      <c r="C64" s="4" t="s">
        <v>299</v>
      </c>
      <c r="D64" s="14"/>
    </row>
    <row r="65" customFormat="false" ht="15" hidden="false" customHeight="false" outlineLevel="0" collapsed="false">
      <c r="A65" s="12" t="s">
        <v>302</v>
      </c>
      <c r="B65" s="13"/>
      <c r="C65" s="13"/>
      <c r="D65" s="13"/>
    </row>
    <row r="66" customFormat="false" ht="15" hidden="false" customHeight="false" outlineLevel="0" collapsed="false">
      <c r="A66" s="14" t="s">
        <v>303</v>
      </c>
      <c r="B66" s="23" t="n">
        <f aca="false">ShortCircuit!$B$10*1000</f>
        <v>17495.4627027159</v>
      </c>
      <c r="C66" s="4" t="s">
        <v>15</v>
      </c>
      <c r="D66" s="14"/>
    </row>
    <row r="67" customFormat="false" ht="15" hidden="false" customHeight="false" outlineLevel="0" collapsed="false">
      <c r="A67" s="14" t="s">
        <v>304</v>
      </c>
      <c r="B67" s="18" t="n">
        <f aca="false">Protection!$B$66/Equipment!$B$23</f>
        <v>29.1591045045266</v>
      </c>
      <c r="C67" s="4" t="s">
        <v>15</v>
      </c>
      <c r="D67" s="14"/>
    </row>
    <row r="68" customFormat="false" ht="15" hidden="false" customHeight="false" outlineLevel="0" collapsed="false">
      <c r="A68" s="14" t="s">
        <v>305</v>
      </c>
      <c r="B68" s="15" t="n">
        <v>4</v>
      </c>
      <c r="C68" s="4" t="s">
        <v>22</v>
      </c>
      <c r="D68" s="14"/>
    </row>
    <row r="69" customFormat="false" ht="15" hidden="false" customHeight="false" outlineLevel="0" collapsed="false">
      <c r="A69" s="14" t="s">
        <v>204</v>
      </c>
      <c r="B69" s="15" t="n">
        <v>2</v>
      </c>
      <c r="C69" s="4" t="s">
        <v>22</v>
      </c>
      <c r="D69" s="14"/>
    </row>
    <row r="70" customFormat="false" ht="15" hidden="false" customHeight="false" outlineLevel="0" collapsed="false">
      <c r="A70" s="14" t="s">
        <v>306</v>
      </c>
      <c r="B70" s="25" t="n">
        <f aca="false">Protection!$B$67*(Protection!$B$68+Protection!$B$69)</f>
        <v>174.954627027159</v>
      </c>
      <c r="C70" s="4" t="s">
        <v>24</v>
      </c>
      <c r="D70" s="14"/>
    </row>
    <row r="71" customFormat="false" ht="15" hidden="false" customHeight="false" outlineLevel="0" collapsed="false">
      <c r="A71" s="14" t="s">
        <v>307</v>
      </c>
      <c r="B71" s="25" t="n">
        <f aca="false">2*Protection!$B$70</f>
        <v>349.909254054319</v>
      </c>
      <c r="C71" s="4" t="s">
        <v>24</v>
      </c>
      <c r="D7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2" t="s">
        <v>309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</v>
      </c>
      <c r="D4" s="3" t="s">
        <v>46</v>
      </c>
    </row>
    <row r="5" customFormat="false" ht="15" hidden="false" customHeight="false" outlineLevel="0" collapsed="false">
      <c r="A5" s="12" t="s">
        <v>310</v>
      </c>
      <c r="B5" s="13"/>
      <c r="C5" s="13"/>
      <c r="D5" s="13"/>
    </row>
    <row r="6" customFormat="false" ht="15" hidden="false" customHeight="false" outlineLevel="0" collapsed="false">
      <c r="A6" s="14" t="s">
        <v>311</v>
      </c>
      <c r="B6" s="15" t="n">
        <v>70</v>
      </c>
      <c r="C6" s="4" t="s">
        <v>312</v>
      </c>
      <c r="D6" s="14" t="s">
        <v>313</v>
      </c>
    </row>
    <row r="7" customFormat="false" ht="15" hidden="false" customHeight="false" outlineLevel="0" collapsed="false">
      <c r="A7" s="14" t="s">
        <v>314</v>
      </c>
      <c r="B7" s="15" t="n">
        <v>60</v>
      </c>
      <c r="C7" s="4" t="s">
        <v>312</v>
      </c>
      <c r="D7" s="14"/>
    </row>
    <row r="8" customFormat="false" ht="15" hidden="false" customHeight="false" outlineLevel="0" collapsed="false">
      <c r="A8" s="14" t="s">
        <v>315</v>
      </c>
      <c r="B8" s="15" t="n">
        <v>100</v>
      </c>
      <c r="C8" s="4" t="s">
        <v>316</v>
      </c>
      <c r="D8" s="14" t="s">
        <v>317</v>
      </c>
    </row>
    <row r="9" customFormat="false" ht="15" hidden="false" customHeight="false" outlineLevel="0" collapsed="false">
      <c r="A9" s="14" t="s">
        <v>318</v>
      </c>
      <c r="B9" s="15" t="n">
        <v>3000</v>
      </c>
      <c r="C9" s="4" t="s">
        <v>316</v>
      </c>
      <c r="D9" s="14"/>
    </row>
    <row r="10" customFormat="false" ht="15" hidden="false" customHeight="false" outlineLevel="0" collapsed="false">
      <c r="A10" s="14" t="s">
        <v>319</v>
      </c>
      <c r="B10" s="17" t="n">
        <v>0.15</v>
      </c>
      <c r="C10" s="4" t="s">
        <v>312</v>
      </c>
      <c r="D10" s="14"/>
    </row>
    <row r="11" customFormat="false" ht="15" hidden="false" customHeight="false" outlineLevel="0" collapsed="false">
      <c r="A11" s="14" t="s">
        <v>320</v>
      </c>
      <c r="B11" s="17" t="n">
        <v>0.6</v>
      </c>
      <c r="C11" s="4" t="s">
        <v>312</v>
      </c>
      <c r="D11" s="14"/>
    </row>
    <row r="12" customFormat="false" ht="15" hidden="false" customHeight="false" outlineLevel="0" collapsed="false">
      <c r="A12" s="14" t="s">
        <v>321</v>
      </c>
      <c r="B12" s="15" t="n">
        <v>20</v>
      </c>
      <c r="C12" s="4" t="s">
        <v>11</v>
      </c>
      <c r="D12" s="14" t="s">
        <v>322</v>
      </c>
    </row>
    <row r="13" customFormat="false" ht="15" hidden="false" customHeight="false" outlineLevel="0" collapsed="false">
      <c r="A13" s="14" t="s">
        <v>323</v>
      </c>
      <c r="B13" s="17" t="n">
        <v>0.6</v>
      </c>
      <c r="C13" s="4" t="s">
        <v>61</v>
      </c>
      <c r="D13" s="14" t="s">
        <v>324</v>
      </c>
    </row>
    <row r="14" customFormat="false" ht="15" hidden="false" customHeight="false" outlineLevel="0" collapsed="false">
      <c r="A14" s="14" t="s">
        <v>325</v>
      </c>
      <c r="B14" s="15" t="n">
        <v>1</v>
      </c>
      <c r="C14" s="4" t="s">
        <v>87</v>
      </c>
      <c r="D14" s="14" t="s">
        <v>326</v>
      </c>
    </row>
    <row r="15" customFormat="false" ht="15" hidden="false" customHeight="false" outlineLevel="0" collapsed="false">
      <c r="A15" s="14" t="s">
        <v>327</v>
      </c>
      <c r="B15" s="15" t="n">
        <v>20</v>
      </c>
      <c r="C15" s="4" t="s">
        <v>61</v>
      </c>
      <c r="D15" s="14"/>
    </row>
    <row r="16" customFormat="false" ht="15" hidden="false" customHeight="false" outlineLevel="0" collapsed="false">
      <c r="A16" s="14" t="s">
        <v>328</v>
      </c>
      <c r="B16" s="17" t="n">
        <v>15.95</v>
      </c>
      <c r="C16" s="4" t="s">
        <v>61</v>
      </c>
      <c r="D16" s="14" t="s">
        <v>329</v>
      </c>
    </row>
    <row r="17" customFormat="false" ht="15" hidden="false" customHeight="false" outlineLevel="0" collapsed="false">
      <c r="A17" s="14" t="s">
        <v>330</v>
      </c>
      <c r="B17" s="15" t="n">
        <v>5</v>
      </c>
      <c r="C17" s="4" t="s">
        <v>312</v>
      </c>
      <c r="D17" s="14" t="s">
        <v>331</v>
      </c>
    </row>
    <row r="18" customFormat="false" ht="15" hidden="false" customHeight="false" outlineLevel="0" collapsed="false">
      <c r="A18" s="14" t="s">
        <v>332</v>
      </c>
      <c r="B18" s="15" t="n">
        <v>40</v>
      </c>
      <c r="C18" s="4" t="s">
        <v>65</v>
      </c>
      <c r="D18" s="14" t="s">
        <v>333</v>
      </c>
    </row>
    <row r="19" customFormat="false" ht="15" hidden="false" customHeight="false" outlineLevel="0" collapsed="false">
      <c r="A19" s="14" t="s">
        <v>334</v>
      </c>
      <c r="B19" s="15" t="n">
        <v>3</v>
      </c>
      <c r="C19" s="4" t="s">
        <v>312</v>
      </c>
      <c r="D19" s="14"/>
    </row>
    <row r="20" customFormat="false" ht="15" hidden="false" customHeight="false" outlineLevel="0" collapsed="false">
      <c r="A20" s="14" t="s">
        <v>335</v>
      </c>
      <c r="B20" s="15" t="n">
        <v>75</v>
      </c>
      <c r="C20" s="4" t="s">
        <v>336</v>
      </c>
      <c r="D20" s="14"/>
    </row>
    <row r="21" customFormat="false" ht="15" hidden="false" customHeight="false" outlineLevel="0" collapsed="false">
      <c r="A21" s="14" t="s">
        <v>337</v>
      </c>
      <c r="B21" s="15" t="n">
        <v>12</v>
      </c>
      <c r="C21" s="4" t="s">
        <v>336</v>
      </c>
      <c r="D21" s="14" t="s">
        <v>338</v>
      </c>
    </row>
    <row r="22" customFormat="false" ht="15" hidden="false" customHeight="false" outlineLevel="0" collapsed="false">
      <c r="A22" s="12" t="s">
        <v>339</v>
      </c>
      <c r="B22" s="13"/>
      <c r="C22" s="13"/>
      <c r="D22" s="13"/>
    </row>
    <row r="23" customFormat="false" ht="15" hidden="false" customHeight="false" outlineLevel="0" collapsed="false">
      <c r="A23" s="14" t="s">
        <v>340</v>
      </c>
      <c r="B23" s="18" t="n">
        <f aca="false">Earthing!$B$12*Earthing!$B$16*SQRT(Earthing!$B$14)*0.5067</f>
        <v>161.6373</v>
      </c>
      <c r="C23" s="4" t="s">
        <v>341</v>
      </c>
      <c r="D23" s="14"/>
    </row>
    <row r="24" customFormat="false" ht="15" hidden="false" customHeight="false" outlineLevel="0" collapsed="false">
      <c r="A24" s="14" t="s">
        <v>342</v>
      </c>
      <c r="B24" s="25" t="n">
        <f aca="false">Earthing!$B$20*Earthing!$B$21</f>
        <v>900</v>
      </c>
      <c r="C24" s="4" t="s">
        <v>341</v>
      </c>
      <c r="D24" s="14"/>
    </row>
    <row r="25" customFormat="false" ht="15" hidden="false" customHeight="false" outlineLevel="0" collapsed="false">
      <c r="A25" s="14" t="s">
        <v>343</v>
      </c>
      <c r="B25" s="27" t="str">
        <f aca="false">IF(Earthing!$B$24&gt;=Earthing!$B$23*2,"OK (with 2x margin for corrosion)","CHECK")</f>
        <v>OK (with 2x margin for corrosion)</v>
      </c>
      <c r="C25" s="4"/>
      <c r="D25" s="14"/>
    </row>
    <row r="26" customFormat="false" ht="15" hidden="false" customHeight="false" outlineLevel="0" collapsed="false">
      <c r="A26" s="12" t="s">
        <v>344</v>
      </c>
      <c r="B26" s="13"/>
      <c r="C26" s="13"/>
      <c r="D26" s="13"/>
    </row>
    <row r="27" customFormat="false" ht="15" hidden="false" customHeight="false" outlineLevel="0" collapsed="false">
      <c r="A27" s="14" t="s">
        <v>345</v>
      </c>
      <c r="B27" s="23" t="n">
        <f aca="false">Earthing!$B$6*Earthing!$B$7</f>
        <v>4200</v>
      </c>
      <c r="C27" s="4" t="s">
        <v>346</v>
      </c>
      <c r="D27" s="14"/>
    </row>
    <row r="28" customFormat="false" ht="15" hidden="false" customHeight="false" outlineLevel="0" collapsed="false">
      <c r="A28" s="14" t="s">
        <v>347</v>
      </c>
      <c r="B28" s="25" t="n">
        <f aca="false">ROUND(Earthing!$B$6/Earthing!$B$17,0)+1</f>
        <v>15</v>
      </c>
      <c r="C28" s="4" t="s">
        <v>65</v>
      </c>
      <c r="D28" s="14"/>
    </row>
    <row r="29" customFormat="false" ht="15" hidden="false" customHeight="false" outlineLevel="0" collapsed="false">
      <c r="A29" s="14" t="s">
        <v>348</v>
      </c>
      <c r="B29" s="25" t="n">
        <f aca="false">ROUND(Earthing!$B$7/Earthing!$B$17,0)+1</f>
        <v>13</v>
      </c>
      <c r="C29" s="4" t="s">
        <v>65</v>
      </c>
      <c r="D29" s="14"/>
    </row>
    <row r="30" customFormat="false" ht="15" hidden="false" customHeight="false" outlineLevel="0" collapsed="false">
      <c r="A30" s="14" t="s">
        <v>349</v>
      </c>
      <c r="B30" s="23" t="n">
        <f aca="false">Earthing!$B$6*Earthing!$B$29+Earthing!$B$7*Earthing!$B$28</f>
        <v>1810</v>
      </c>
      <c r="C30" s="4" t="s">
        <v>312</v>
      </c>
      <c r="D30" s="14"/>
    </row>
    <row r="31" customFormat="false" ht="15" hidden="false" customHeight="false" outlineLevel="0" collapsed="false">
      <c r="A31" s="14" t="s">
        <v>350</v>
      </c>
      <c r="B31" s="23" t="n">
        <f aca="false">2*(Earthing!$B$6+Earthing!$B$7)</f>
        <v>260</v>
      </c>
      <c r="C31" s="4" t="s">
        <v>312</v>
      </c>
      <c r="D31" s="14"/>
    </row>
    <row r="32" customFormat="false" ht="15" hidden="false" customHeight="false" outlineLevel="0" collapsed="false">
      <c r="A32" s="14" t="s">
        <v>351</v>
      </c>
      <c r="B32" s="23" t="n">
        <f aca="false">Earthing!$B$18*Earthing!$B$19</f>
        <v>120</v>
      </c>
      <c r="C32" s="4" t="s">
        <v>312</v>
      </c>
      <c r="D32" s="14"/>
    </row>
    <row r="33" customFormat="false" ht="15" hidden="false" customHeight="false" outlineLevel="0" collapsed="false">
      <c r="A33" s="14" t="s">
        <v>352</v>
      </c>
      <c r="B33" s="23" t="n">
        <f aca="false">Earthing!$B$30+Earthing!$B$32</f>
        <v>1930</v>
      </c>
      <c r="C33" s="4" t="s">
        <v>312</v>
      </c>
      <c r="D33" s="14"/>
    </row>
    <row r="34" customFormat="false" ht="15" hidden="false" customHeight="false" outlineLevel="0" collapsed="false">
      <c r="A34" s="14" t="s">
        <v>353</v>
      </c>
      <c r="B34" s="20" t="n">
        <f aca="false">2*(Earthing!$B$20+Earthing!$B$21)/PI()/1000</f>
        <v>0.0553859201959796</v>
      </c>
      <c r="C34" s="4" t="s">
        <v>312</v>
      </c>
      <c r="D34" s="14"/>
    </row>
    <row r="35" customFormat="false" ht="15" hidden="false" customHeight="false" outlineLevel="0" collapsed="false">
      <c r="A35" s="12" t="s">
        <v>354</v>
      </c>
      <c r="B35" s="13"/>
      <c r="C35" s="13"/>
      <c r="D35" s="13"/>
    </row>
    <row r="36" customFormat="false" ht="15" hidden="false" customHeight="false" outlineLevel="0" collapsed="false">
      <c r="A36" s="14" t="s">
        <v>355</v>
      </c>
      <c r="B36" s="21" t="n">
        <f aca="false">Earthing!$B$8*(1/Earthing!$B$33+1/SQRT(20*Earthing!$B$27)*(1+1/(1+Earthing!$B$11*SQRT(20/Earthing!$B$27))))</f>
        <v>0.728161285188971</v>
      </c>
      <c r="C36" s="4" t="s">
        <v>22</v>
      </c>
      <c r="D36" s="14" t="s">
        <v>356</v>
      </c>
    </row>
    <row r="37" customFormat="false" ht="15" hidden="false" customHeight="false" outlineLevel="0" collapsed="false">
      <c r="A37" s="14" t="s">
        <v>357</v>
      </c>
      <c r="B37" s="20" t="n">
        <f aca="false">Earthing!$B$15/(2*PI()*Inputs!$B$10)</f>
        <v>0.0636619772367581</v>
      </c>
      <c r="C37" s="4" t="s">
        <v>87</v>
      </c>
      <c r="D37" s="14"/>
    </row>
    <row r="38" customFormat="false" ht="15" hidden="false" customHeight="false" outlineLevel="0" collapsed="false">
      <c r="A38" s="14" t="s">
        <v>358</v>
      </c>
      <c r="B38" s="21" t="n">
        <f aca="false">1+Earthing!$B$37/Earthing!$B$14*(1-EXP(-2*Earthing!$B$14/Earthing!$B$37))</f>
        <v>1.06366197723676</v>
      </c>
      <c r="C38" s="4"/>
      <c r="D38" s="14"/>
    </row>
    <row r="39" customFormat="false" ht="15" hidden="false" customHeight="false" outlineLevel="0" collapsed="false">
      <c r="A39" s="14" t="s">
        <v>359</v>
      </c>
      <c r="B39" s="23" t="n">
        <f aca="false">Earthing!$B$13*Earthing!$B$12*1000*Earthing!$B$38</f>
        <v>12763.9437268411</v>
      </c>
      <c r="C39" s="4" t="s">
        <v>15</v>
      </c>
      <c r="D39" s="14"/>
    </row>
    <row r="40" customFormat="false" ht="15" hidden="false" customHeight="false" outlineLevel="0" collapsed="false">
      <c r="A40" s="14" t="s">
        <v>360</v>
      </c>
      <c r="B40" s="23" t="n">
        <f aca="false">Earthing!$B$39*Earthing!$B$36</f>
        <v>9294.2096682163</v>
      </c>
      <c r="C40" s="4" t="s">
        <v>24</v>
      </c>
      <c r="D40" s="14"/>
    </row>
    <row r="41" customFormat="false" ht="15" hidden="false" customHeight="false" outlineLevel="0" collapsed="false">
      <c r="A41" s="12" t="s">
        <v>361</v>
      </c>
      <c r="B41" s="13"/>
      <c r="C41" s="13"/>
      <c r="D41" s="13"/>
    </row>
    <row r="42" customFormat="false" ht="15" hidden="false" customHeight="false" outlineLevel="0" collapsed="false">
      <c r="A42" s="14" t="s">
        <v>362</v>
      </c>
      <c r="B42" s="21" t="n">
        <f aca="false">1-0.09*(1-Earthing!$B$8/Earthing!$B$9)/(2*Earthing!$B$10+0.09)</f>
        <v>0.776923076923077</v>
      </c>
      <c r="C42" s="4"/>
      <c r="D42" s="14"/>
    </row>
    <row r="43" customFormat="false" ht="15" hidden="false" customHeight="false" outlineLevel="0" collapsed="false">
      <c r="A43" s="14" t="s">
        <v>363</v>
      </c>
      <c r="B43" s="25" t="n">
        <f aca="false">(1000+1.5*Earthing!$B$42*Earthing!$B$9)*0.157/SQRT(Earthing!$B$14)</f>
        <v>705.896153846154</v>
      </c>
      <c r="C43" s="4" t="s">
        <v>24</v>
      </c>
      <c r="D43" s="14"/>
    </row>
    <row r="44" customFormat="false" ht="15" hidden="false" customHeight="false" outlineLevel="0" collapsed="false">
      <c r="A44" s="14" t="s">
        <v>364</v>
      </c>
      <c r="B44" s="25" t="n">
        <f aca="false">(1000+6*Earthing!$B$42*Earthing!$B$9)*0.157/SQRT(Earthing!$B$14)</f>
        <v>2352.58461538462</v>
      </c>
      <c r="C44" s="4" t="s">
        <v>24</v>
      </c>
      <c r="D44" s="14"/>
    </row>
    <row r="45" customFormat="false" ht="15" hidden="false" customHeight="false" outlineLevel="0" collapsed="false">
      <c r="A45" s="12" t="s">
        <v>365</v>
      </c>
      <c r="B45" s="13"/>
      <c r="C45" s="13"/>
      <c r="D45" s="13"/>
    </row>
    <row r="46" customFormat="false" ht="15" hidden="false" customHeight="false" outlineLevel="0" collapsed="false">
      <c r="A46" s="14" t="s">
        <v>366</v>
      </c>
      <c r="B46" s="22" t="n">
        <f aca="false">2*Earthing!$B$30/Earthing!$B$31</f>
        <v>13.9230769230769</v>
      </c>
      <c r="C46" s="4"/>
      <c r="D46" s="14"/>
    </row>
    <row r="47" customFormat="false" ht="15" hidden="false" customHeight="false" outlineLevel="0" collapsed="false">
      <c r="A47" s="14" t="s">
        <v>367</v>
      </c>
      <c r="B47" s="22" t="n">
        <f aca="false">SQRT(Earthing!$B$31/(4*SQRT(Earthing!$B$27)))</f>
        <v>1.00148478508343</v>
      </c>
      <c r="C47" s="4"/>
      <c r="D47" s="14"/>
    </row>
    <row r="48" customFormat="false" ht="15" hidden="false" customHeight="false" outlineLevel="0" collapsed="false">
      <c r="A48" s="14" t="s">
        <v>368</v>
      </c>
      <c r="B48" s="22" t="n">
        <f aca="false">Earthing!$B$46*Earthing!$B$47</f>
        <v>13.9437497000077</v>
      </c>
      <c r="C48" s="4"/>
      <c r="D48" s="14"/>
    </row>
    <row r="49" customFormat="false" ht="15" hidden="false" customHeight="false" outlineLevel="0" collapsed="false">
      <c r="A49" s="14" t="s">
        <v>369</v>
      </c>
      <c r="B49" s="21" t="n">
        <f aca="false">SQRT(1+Earthing!$B$11/1)</f>
        <v>1.26491106406735</v>
      </c>
      <c r="C49" s="4"/>
      <c r="D49" s="14"/>
    </row>
    <row r="50" customFormat="false" ht="15" hidden="false" customHeight="false" outlineLevel="0" collapsed="false">
      <c r="A50" s="14" t="s">
        <v>370</v>
      </c>
      <c r="B50" s="21" t="n">
        <f aca="false">1/(2*PI())*(LN(Earthing!$B$17^2/(16*Earthing!$B$11*Earthing!$B$34)+(Earthing!$B$17+2*Earthing!$B$11)^2/(8*Earthing!$B$17*Earthing!$B$34)-Earthing!$B$11/(4*Earthing!$B$34))+(1/Earthing!$B$49)*LN(8/(PI()*(2*Earthing!$B$48-1))))</f>
        <v>0.359423383787464</v>
      </c>
      <c r="C50" s="4"/>
      <c r="D50" s="14" t="s">
        <v>371</v>
      </c>
    </row>
    <row r="51" customFormat="false" ht="15" hidden="false" customHeight="false" outlineLevel="0" collapsed="false">
      <c r="A51" s="14" t="s">
        <v>372</v>
      </c>
      <c r="B51" s="21" t="n">
        <f aca="false">0.644+0.148*Earthing!$B$48</f>
        <v>2.70767495560114</v>
      </c>
      <c r="C51" s="4"/>
      <c r="D51" s="14"/>
    </row>
    <row r="52" customFormat="false" ht="15" hidden="false" customHeight="false" outlineLevel="0" collapsed="false">
      <c r="A52" s="14" t="s">
        <v>373</v>
      </c>
      <c r="B52" s="23" t="n">
        <f aca="false">Earthing!$B$30+(1.55+1.22*(Earthing!$B$19/SQRT(Earthing!$B$6^2+Earthing!$B$7^2)))*Earthing!$B$32</f>
        <v>2000.7637928537</v>
      </c>
      <c r="C52" s="4" t="s">
        <v>312</v>
      </c>
      <c r="D52" s="14"/>
    </row>
    <row r="53" customFormat="false" ht="15" hidden="false" customHeight="false" outlineLevel="0" collapsed="false">
      <c r="A53" s="14" t="s">
        <v>374</v>
      </c>
      <c r="B53" s="25" t="n">
        <f aca="false">Earthing!$B$8*Earthing!$B$50*Earthing!$B$51*Earthing!$B$39/Earthing!$B$52</f>
        <v>620.857480072356</v>
      </c>
      <c r="C53" s="4" t="s">
        <v>24</v>
      </c>
      <c r="D53" s="14"/>
    </row>
    <row r="54" customFormat="false" ht="15" hidden="false" customHeight="false" outlineLevel="0" collapsed="false">
      <c r="A54" s="14" t="s">
        <v>375</v>
      </c>
      <c r="B54" s="21" t="n">
        <f aca="false">1/PI()*(1/(2*Earthing!$B$11)+1/(Earthing!$B$17+Earthing!$B$11)+1/Earthing!$B$17*(1-0.5^(Earthing!$B$48-2)))</f>
        <v>0.385745106386701</v>
      </c>
      <c r="C54" s="4"/>
      <c r="D54" s="14"/>
    </row>
    <row r="55" customFormat="false" ht="15" hidden="false" customHeight="false" outlineLevel="0" collapsed="false">
      <c r="A55" s="14" t="s">
        <v>376</v>
      </c>
      <c r="B55" s="23" t="n">
        <f aca="false">0.75*Earthing!$B$30+0.85*Earthing!$B$32</f>
        <v>1459.5</v>
      </c>
      <c r="C55" s="4" t="s">
        <v>312</v>
      </c>
      <c r="D55" s="14"/>
    </row>
    <row r="56" customFormat="false" ht="15" hidden="false" customHeight="false" outlineLevel="0" collapsed="false">
      <c r="A56" s="14" t="s">
        <v>377</v>
      </c>
      <c r="B56" s="25" t="n">
        <f aca="false">Earthing!$B$8*Earthing!$B$54*Earthing!$B$51*Earthing!$B$39/Earthing!$B$55</f>
        <v>913.435181630583</v>
      </c>
      <c r="C56" s="4" t="s">
        <v>24</v>
      </c>
      <c r="D56" s="14"/>
    </row>
    <row r="57" customFormat="false" ht="15" hidden="false" customHeight="false" outlineLevel="0" collapsed="false">
      <c r="A57" s="12" t="s">
        <v>378</v>
      </c>
      <c r="B57" s="13"/>
      <c r="C57" s="13"/>
      <c r="D57" s="13"/>
    </row>
    <row r="58" customFormat="false" ht="15" hidden="false" customHeight="false" outlineLevel="0" collapsed="false">
      <c r="A58" s="14" t="s">
        <v>379</v>
      </c>
      <c r="B58" s="27" t="str">
        <f aca="false">IF(Earthing!$B$53&lt;=Earthing!$B$43,"OK","FAIL")</f>
        <v>OK</v>
      </c>
      <c r="C58" s="4"/>
      <c r="D58" s="14"/>
    </row>
    <row r="59" customFormat="false" ht="15" hidden="false" customHeight="false" outlineLevel="0" collapsed="false">
      <c r="A59" s="14" t="s">
        <v>380</v>
      </c>
      <c r="B59" s="27" t="str">
        <f aca="false">IF(Earthing!$B$56&lt;=Earthing!$B$44,"OK","FAIL")</f>
        <v>OK</v>
      </c>
      <c r="C59" s="4"/>
      <c r="D59" s="14"/>
    </row>
    <row r="60" customFormat="false" ht="15" hidden="false" customHeight="false" outlineLevel="0" collapsed="false">
      <c r="A60" s="14" t="s">
        <v>381</v>
      </c>
      <c r="B60" s="27" t="str">
        <f aca="false">IF(Earthing!$B$36&lt;=1,"OK","CHECK")</f>
        <v>OK</v>
      </c>
      <c r="C60" s="4"/>
      <c r="D60" s="14"/>
    </row>
    <row r="61" customFormat="false" ht="15" hidden="false" customHeight="false" outlineLevel="0" collapsed="false">
      <c r="A61" s="14" t="s">
        <v>382</v>
      </c>
      <c r="B61" s="27" t="str">
        <f aca="false">IF(Earthing!$B$40&gt;5000,"YES: use isolation / optical fibre","no")</f>
        <v>YES: use isolation / optical fibre</v>
      </c>
      <c r="C61" s="4"/>
      <c r="D61" s="14"/>
    </row>
    <row r="63" customFormat="false" ht="15" hidden="false" customHeight="false" outlineLevel="0" collapsed="false">
      <c r="A63" s="9" t="s">
        <v>383</v>
      </c>
    </row>
    <row r="64" customFormat="false" ht="23.85" hidden="false" customHeight="false" outlineLevel="0" collapsed="false">
      <c r="A64" s="3" t="s">
        <v>384</v>
      </c>
      <c r="B64" s="3" t="s">
        <v>385</v>
      </c>
      <c r="C64" s="3" t="s">
        <v>386</v>
      </c>
      <c r="D64" s="3" t="s">
        <v>387</v>
      </c>
      <c r="E64" s="3" t="s">
        <v>388</v>
      </c>
      <c r="F64" s="3" t="s">
        <v>389</v>
      </c>
      <c r="G64" s="3" t="s">
        <v>3</v>
      </c>
    </row>
    <row r="65" customFormat="false" ht="15" hidden="false" customHeight="false" outlineLevel="0" collapsed="false">
      <c r="A65" s="4" t="n">
        <v>50</v>
      </c>
      <c r="B65" s="28" t="n">
        <v>0.364080642594485</v>
      </c>
      <c r="C65" s="29" t="n">
        <v>4647.10483410815</v>
      </c>
      <c r="D65" s="29" t="n">
        <v>310.428740036178</v>
      </c>
      <c r="E65" s="29" t="n">
        <v>703.178846153846</v>
      </c>
      <c r="F65" s="29" t="n">
        <v>456.717590815291</v>
      </c>
      <c r="G65" s="4" t="s">
        <v>390</v>
      </c>
    </row>
    <row r="66" customFormat="false" ht="15" hidden="false" customHeight="false" outlineLevel="0" collapsed="false">
      <c r="A66" s="4" t="n">
        <v>100</v>
      </c>
      <c r="B66" s="28" t="n">
        <v>0.728161285188971</v>
      </c>
      <c r="C66" s="29" t="n">
        <v>9294.2096682163</v>
      </c>
      <c r="D66" s="29" t="n">
        <v>620.857480072356</v>
      </c>
      <c r="E66" s="29" t="n">
        <v>705.896153846154</v>
      </c>
      <c r="F66" s="29" t="n">
        <v>913.435181630583</v>
      </c>
      <c r="G66" s="4" t="s">
        <v>390</v>
      </c>
    </row>
    <row r="67" customFormat="false" ht="15" hidden="false" customHeight="false" outlineLevel="0" collapsed="false">
      <c r="A67" s="4" t="n">
        <v>150</v>
      </c>
      <c r="B67" s="28" t="n">
        <v>1.09224192778346</v>
      </c>
      <c r="C67" s="29" t="n">
        <v>13941.3145023245</v>
      </c>
      <c r="D67" s="29" t="n">
        <v>931.286220108534</v>
      </c>
      <c r="E67" s="29" t="n">
        <v>708.613461538462</v>
      </c>
      <c r="F67" s="29" t="n">
        <v>1370.15277244587</v>
      </c>
      <c r="G67" s="4" t="s">
        <v>391</v>
      </c>
    </row>
    <row r="68" customFormat="false" ht="15" hidden="false" customHeight="false" outlineLevel="0" collapsed="false">
      <c r="A68" s="4" t="n">
        <v>200</v>
      </c>
      <c r="B68" s="28" t="n">
        <v>1.45632257037794</v>
      </c>
      <c r="C68" s="29" t="n">
        <v>18588.4193364326</v>
      </c>
      <c r="D68" s="29" t="n">
        <v>1241.71496014471</v>
      </c>
      <c r="E68" s="29" t="n">
        <v>711.330769230769</v>
      </c>
      <c r="F68" s="29" t="n">
        <v>1826.87036326117</v>
      </c>
      <c r="G68" s="4" t="s">
        <v>391</v>
      </c>
    </row>
    <row r="69" customFormat="false" ht="15" hidden="false" customHeight="false" outlineLevel="0" collapsed="false">
      <c r="A69" s="4" t="n">
        <v>300</v>
      </c>
      <c r="B69" s="28" t="n">
        <v>2.18448385556691</v>
      </c>
      <c r="C69" s="29" t="n">
        <v>27882.6290046489</v>
      </c>
      <c r="D69" s="29" t="n">
        <v>1862.57244021707</v>
      </c>
      <c r="E69" s="29" t="n">
        <v>716.765384615385</v>
      </c>
      <c r="F69" s="29" t="n">
        <v>2740.30554489175</v>
      </c>
      <c r="G69" s="4" t="s">
        <v>391</v>
      </c>
    </row>
    <row r="71" customFormat="false" ht="15" hidden="false" customHeight="false" outlineLevel="0" collapsed="false">
      <c r="A71" s="2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2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393</v>
      </c>
    </row>
    <row r="2" customFormat="false" ht="15" hidden="false" customHeight="false" outlineLevel="0" collapsed="false">
      <c r="A2" s="2" t="s">
        <v>394</v>
      </c>
    </row>
    <row r="4" customFormat="false" ht="15" hidden="false" customHeight="false" outlineLevel="0" collapsed="false">
      <c r="A4" s="3" t="s">
        <v>2</v>
      </c>
      <c r="B4" s="3" t="s">
        <v>395</v>
      </c>
      <c r="C4" s="3" t="s">
        <v>396</v>
      </c>
    </row>
    <row r="5" customFormat="false" ht="15" hidden="false" customHeight="false" outlineLevel="0" collapsed="false">
      <c r="A5" s="14" t="s">
        <v>397</v>
      </c>
      <c r="B5" s="14" t="str">
        <f aca="false">"132/33 kV, "&amp;TEXT(Transformer!$B$9,"0")&amp;" MVA ONAN/ONAF, YNd11, Z = "&amp;TEXT(Inputs!$B$21,"0.0")&amp;"%, OLTC +/-"&amp;TEXT(Inputs!$B$22,"0")&amp;"%"</f>
        <v>132/33 kV, 50 MVA ONAN/ONAF, YNd11, Z = 12.5%, OLTC +/-10%</v>
      </c>
      <c r="C5" s="14" t="n">
        <f aca="false">Inputs!$B$20</f>
        <v>2</v>
      </c>
    </row>
    <row r="6" customFormat="false" ht="15" hidden="false" customHeight="false" outlineLevel="0" collapsed="false">
      <c r="A6" s="14" t="s">
        <v>398</v>
      </c>
      <c r="B6" s="14" t="str">
        <f aca="false">"145 kV, "&amp;Equipment!$B$9&amp;" A, "&amp;Equipment!$B$13&amp;" kA / 3 s (line, bus section), "&amp;Equipment!$B$10&amp;" A (transformer)"</f>
        <v>145 kV, 1250 A, 31.5 kA / 3 s (line, bus section), 1250 A (transformer)</v>
      </c>
      <c r="C6" s="14" t="n">
        <f aca="false">2+1+Inputs!$B$20</f>
        <v>5</v>
      </c>
    </row>
    <row r="7" customFormat="false" ht="15" hidden="false" customHeight="false" outlineLevel="0" collapsed="false">
      <c r="A7" s="14" t="s">
        <v>399</v>
      </c>
      <c r="B7" s="14" t="str">
        <f aca="false">"145 kV, "&amp;Equipment!$B$10&amp;" A, "&amp;Equipment!$B$13&amp;" kA"</f>
        <v>145 kV, 1250 A, 31.5 kA</v>
      </c>
      <c r="C7" s="14" t="n">
        <f aca="false">2*2+Inputs!$B$20+2</f>
        <v>8</v>
      </c>
    </row>
    <row r="8" customFormat="false" ht="15" hidden="false" customHeight="false" outlineLevel="0" collapsed="false">
      <c r="A8" s="14" t="s">
        <v>400</v>
      </c>
      <c r="B8" s="14" t="str">
        <f aca="false">TEXT(Equipment!$B$23,"0")&amp;"/1 (line, bus section), "&amp;TEXT(Equipment!$B$24,"0")&amp;"/1 (transformer), 4-5 cores"</f>
        <v>600/1 (line, bus section), 300/1 (transformer), 4-5 cores</v>
      </c>
      <c r="C8" s="14" t="n">
        <f aca="false">2+1+Inputs!$B$20</f>
        <v>5</v>
      </c>
    </row>
    <row r="9" customFormat="false" ht="15" hidden="false" customHeight="false" outlineLevel="0" collapsed="false">
      <c r="A9" s="14" t="s">
        <v>401</v>
      </c>
      <c r="B9" s="14" t="str">
        <f aca="false">"132/V3 kV : 110/V3 V, 0.2 / 3P / 3P"</f>
        <v>132/V3 kV : 110/V3 V, 0.2 / 3P / 3P</v>
      </c>
      <c r="C9" s="14" t="n">
        <f aca="false">2+2</f>
        <v>4</v>
      </c>
    </row>
    <row r="10" customFormat="false" ht="15" hidden="false" customHeight="false" outlineLevel="0" collapsed="false">
      <c r="A10" s="14" t="s">
        <v>402</v>
      </c>
      <c r="B10" s="14" t="str">
        <f aca="false">Equipment!$B$20&amp;" kV, 10 kA, station class"</f>
        <v>120 kV, 10 kA, station class</v>
      </c>
      <c r="C10" s="14" t="n">
        <f aca="false">2+Inputs!$B$20</f>
        <v>4</v>
      </c>
    </row>
    <row r="11" customFormat="false" ht="15" hidden="false" customHeight="false" outlineLevel="0" collapsed="false">
      <c r="A11" s="14" t="s">
        <v>403</v>
      </c>
      <c r="B11" s="14" t="str">
        <f aca="false">"Tubular, "&amp;Equipment!$B$6&amp;" A, 2 sections"</f>
        <v>Tubular, 1250 A, 2 sections</v>
      </c>
      <c r="C11" s="14" t="n">
        <f aca="false">2</f>
        <v>2</v>
      </c>
    </row>
    <row r="12" customFormat="false" ht="15" hidden="false" customHeight="false" outlineLevel="0" collapsed="false">
      <c r="A12" s="14" t="s">
        <v>404</v>
      </c>
      <c r="B12" s="14" t="str">
        <f aca="false">"36 kV, "&amp;Equipment!$B$11&amp;" A, "&amp;Equipment!$B$14&amp;" kA / 3 s"</f>
        <v>36 kV, 1250 A, 25 kA / 3 s</v>
      </c>
      <c r="C12" s="14" t="n">
        <f aca="false">Inputs!$B$20+1</f>
        <v>3</v>
      </c>
    </row>
    <row r="13" customFormat="false" ht="15" hidden="false" customHeight="false" outlineLevel="0" collapsed="false">
      <c r="A13" s="14" t="s">
        <v>405</v>
      </c>
      <c r="B13" s="14" t="str">
        <f aca="false">"36 kV, "&amp;Equipment!$B$12&amp;" A, "&amp;Equipment!$B$14&amp;" kA / 3 s"</f>
        <v>36 kV, 630 A, 25 kA / 3 s</v>
      </c>
      <c r="C13" s="14" t="n">
        <f aca="false">Inputs!$B$15</f>
        <v>6</v>
      </c>
    </row>
    <row r="14" customFormat="false" ht="15" hidden="false" customHeight="false" outlineLevel="0" collapsed="false">
      <c r="A14" s="14" t="s">
        <v>406</v>
      </c>
      <c r="B14" s="14" t="str">
        <f aca="false">"36 kV, "&amp;Equipment!$B$12&amp;" A, "&amp;Equipment!$B$14&amp;" kA / 3 s"</f>
        <v>36 kV, 630 A, 25 kA / 3 s</v>
      </c>
      <c r="C14" s="14" t="n">
        <f aca="false">2</f>
        <v>2</v>
      </c>
    </row>
    <row r="15" customFormat="false" ht="23.85" hidden="false" customHeight="false" outlineLevel="0" collapsed="false">
      <c r="A15" s="14" t="s">
        <v>407</v>
      </c>
      <c r="B15" s="14" t="str">
        <f aca="false">"36 kV, "&amp;Equipment!$B$11&amp;" A"</f>
        <v>36 kV, 1250 A</v>
      </c>
      <c r="C15" s="14" t="n">
        <f aca="false">Inputs!$B$20+2+Inputs!$B$15+2+2</f>
        <v>14</v>
      </c>
    </row>
    <row r="16" customFormat="false" ht="15" hidden="false" customHeight="false" outlineLevel="0" collapsed="false">
      <c r="A16" s="14" t="s">
        <v>408</v>
      </c>
      <c r="B16" s="14" t="str">
        <f aca="false">TEXT(Equipment!$B$25,"0")&amp;"/1 (incomer, coupler), "&amp;TEXT(Equipment!$B$26,"0")&amp;"/1 (feeder), "&amp;TEXT(Equipment!$B$27,"0")&amp;"/1 (neutral)"</f>
        <v>1200/1 (incomer, coupler), 200/1 (feeder), 400/1 (neutral)</v>
      </c>
      <c r="C16" s="14" t="n">
        <f aca="false">Inputs!$B$20+1+Inputs!$B$15+2</f>
        <v>11</v>
      </c>
    </row>
    <row r="17" customFormat="false" ht="15" hidden="false" customHeight="false" outlineLevel="0" collapsed="false">
      <c r="A17" s="14" t="s">
        <v>409</v>
      </c>
      <c r="B17" s="14" t="str">
        <f aca="false">"33/V3 kV : 110/V3 V, 0.5 / 3P"</f>
        <v>33/V3 kV : 110/V3 V, 0.5 / 3P</v>
      </c>
      <c r="C17" s="14" t="n">
        <f aca="false">2</f>
        <v>2</v>
      </c>
    </row>
    <row r="18" customFormat="false" ht="15" hidden="false" customHeight="false" outlineLevel="0" collapsed="false">
      <c r="A18" s="14" t="s">
        <v>410</v>
      </c>
      <c r="B18" s="14" t="str">
        <f aca="false">Equipment!$B$21&amp;" kV, 10 kA"</f>
        <v>36 kV, 10 kA</v>
      </c>
      <c r="C18" s="14" t="n">
        <f aca="false">Inputs!$B$15+Inputs!$B$20</f>
        <v>8</v>
      </c>
    </row>
    <row r="19" customFormat="false" ht="15" hidden="false" customHeight="false" outlineLevel="0" collapsed="false">
      <c r="A19" s="14" t="s">
        <v>411</v>
      </c>
      <c r="B19" s="14" t="str">
        <f aca="false">TEXT(Transformer!$B$23,"#,##0")&amp;" kVA for "&amp;Inputs!$B$26&amp;" s, "&amp;Inputs!$B$25&amp;" A"</f>
        <v>5,716 kVA for 10 s, 300 A</v>
      </c>
      <c r="C19" s="14" t="n">
        <f aca="false">2</f>
        <v>2</v>
      </c>
    </row>
    <row r="20" customFormat="false" ht="15" hidden="false" customHeight="false" outlineLevel="0" collapsed="false">
      <c r="A20" s="14" t="s">
        <v>412</v>
      </c>
      <c r="B20" s="14" t="str">
        <f aca="false">TEXT(Transformer!$B$22,"0.0")&amp;" ohm, "&amp;Inputs!$B$25&amp;" A, "&amp;Inputs!$B$26&amp;" s"</f>
        <v>63.5 ohm, 300 A, 10 s</v>
      </c>
      <c r="C20" s="14" t="n">
        <f aca="false">2</f>
        <v>2</v>
      </c>
    </row>
    <row r="21" customFormat="false" ht="15" hidden="false" customHeight="false" outlineLevel="0" collapsed="false">
      <c r="A21" s="14" t="s">
        <v>413</v>
      </c>
      <c r="B21" s="14" t="str">
        <f aca="false">"Line (21), transformer (87T, 51), feeder (50/51), bus (87B), 25, 50BF"</f>
        <v>Line (21), transformer (87T, 51), feeder (50/51), bus (87B), 25, 50BF</v>
      </c>
      <c r="C21" s="14" t="n">
        <f aca="false">2+2*2+Inputs!$B$15+3+2+2</f>
        <v>19</v>
      </c>
    </row>
    <row r="22" customFormat="false" ht="15" hidden="false" customHeight="false" outlineLevel="0" collapsed="false">
      <c r="A22" s="14" t="s">
        <v>414</v>
      </c>
      <c r="B22" s="14" t="str">
        <f aca="false">TEXT(Earthing!$B$6,"0")&amp;" x "&amp;TEXT(Earthing!$B$7,"0")&amp;" m, "&amp;TEXT(Earthing!$B$20,"0")&amp;"x"&amp;TEXT(Earthing!$B$21,"0")&amp;" mm MS flat at "&amp;TEXT(Earthing!$B$17,"0")&amp;" m spacing, "&amp;Earthing!$B$18&amp;" rods x "&amp;Earthing!$B$19&amp;" m"</f>
        <v>70 x 60 m, 75x12 mm MS flat at 5 m spacing, 40 rods x 3 m</v>
      </c>
      <c r="C22" s="14" t="n">
        <f aca="false">1</f>
        <v>1</v>
      </c>
    </row>
    <row r="23" customFormat="false" ht="15" hidden="false" customHeight="false" outlineLevel="0" collapsed="false">
      <c r="A23" s="14" t="s">
        <v>415</v>
      </c>
      <c r="B23" s="14" t="str">
        <f aca="false">"110 V, 2 x 100% battery banks and chargers"</f>
        <v>110 V, 2 x 100% battery banks and chargers</v>
      </c>
      <c r="C23" s="14" t="n">
        <f aca="false">2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17.35" hidden="false" customHeight="false" outlineLevel="0" collapsed="false">
      <c r="A1" s="1" t="s">
        <v>416</v>
      </c>
    </row>
    <row r="3" customFormat="false" ht="23.85" hidden="false" customHeight="false" outlineLevel="0" collapsed="false">
      <c r="A3" s="3" t="s">
        <v>417</v>
      </c>
      <c r="B3" s="3" t="s">
        <v>418</v>
      </c>
      <c r="C3" s="3" t="s">
        <v>419</v>
      </c>
      <c r="D3" s="3" t="s">
        <v>420</v>
      </c>
      <c r="E3" s="3" t="s">
        <v>421</v>
      </c>
      <c r="F3" s="3" t="s">
        <v>422</v>
      </c>
      <c r="G3" s="3" t="s">
        <v>423</v>
      </c>
    </row>
    <row r="4" customFormat="false" ht="15" hidden="false" customHeight="false" outlineLevel="0" collapsed="false">
      <c r="A4" s="30" t="n">
        <v>20</v>
      </c>
      <c r="B4" s="30" t="n">
        <v>25</v>
      </c>
      <c r="C4" s="30" t="n">
        <v>16</v>
      </c>
      <c r="D4" s="30" t="n">
        <v>1250</v>
      </c>
      <c r="E4" s="30" t="n">
        <v>630</v>
      </c>
      <c r="F4" s="30" t="n">
        <v>50</v>
      </c>
      <c r="G4" s="30" t="n">
        <v>100</v>
      </c>
    </row>
    <row r="5" customFormat="false" ht="15" hidden="false" customHeight="false" outlineLevel="0" collapsed="false">
      <c r="A5" s="30" t="n">
        <v>31.5</v>
      </c>
      <c r="B5" s="30" t="n">
        <v>31.5</v>
      </c>
      <c r="C5" s="30" t="n">
        <v>25</v>
      </c>
      <c r="D5" s="30" t="n">
        <v>2000</v>
      </c>
      <c r="E5" s="30" t="n">
        <v>1250</v>
      </c>
      <c r="F5" s="30" t="n">
        <v>100</v>
      </c>
      <c r="G5" s="30" t="n">
        <v>200</v>
      </c>
    </row>
    <row r="6" customFormat="false" ht="15" hidden="false" customHeight="false" outlineLevel="0" collapsed="false">
      <c r="A6" s="30" t="n">
        <v>40</v>
      </c>
      <c r="B6" s="30" t="n">
        <v>40</v>
      </c>
      <c r="C6" s="30" t="n">
        <v>31.5</v>
      </c>
      <c r="D6" s="30" t="n">
        <v>3150</v>
      </c>
      <c r="E6" s="30" t="n">
        <v>2000</v>
      </c>
      <c r="F6" s="30" t="n">
        <v>150</v>
      </c>
      <c r="G6" s="30" t="n">
        <v>300</v>
      </c>
    </row>
    <row r="7" customFormat="false" ht="15" hidden="false" customHeight="false" outlineLevel="0" collapsed="false">
      <c r="A7" s="30" t="n">
        <v>50</v>
      </c>
      <c r="C7" s="30" t="n">
        <v>40</v>
      </c>
      <c r="E7" s="30" t="n">
        <v>2500</v>
      </c>
      <c r="F7" s="30" t="n">
        <v>200</v>
      </c>
      <c r="G7" s="30" t="n">
        <v>400</v>
      </c>
    </row>
    <row r="8" customFormat="false" ht="15" hidden="false" customHeight="false" outlineLevel="0" collapsed="false">
      <c r="A8" s="30" t="n">
        <v>63</v>
      </c>
      <c r="E8" s="30" t="n">
        <v>3150</v>
      </c>
      <c r="F8" s="30" t="n">
        <v>300</v>
      </c>
      <c r="G8" s="30" t="n">
        <v>600</v>
      </c>
    </row>
    <row r="9" customFormat="false" ht="15" hidden="false" customHeight="false" outlineLevel="0" collapsed="false">
      <c r="A9" s="30" t="n">
        <v>80</v>
      </c>
      <c r="F9" s="30" t="n">
        <v>400</v>
      </c>
      <c r="G9" s="30" t="n">
        <v>800</v>
      </c>
    </row>
    <row r="10" customFormat="false" ht="15" hidden="false" customHeight="false" outlineLevel="0" collapsed="false">
      <c r="A10" s="30" t="n">
        <v>100</v>
      </c>
      <c r="F10" s="30" t="n">
        <v>600</v>
      </c>
      <c r="G10" s="30" t="n">
        <v>1000</v>
      </c>
    </row>
    <row r="11" customFormat="false" ht="15" hidden="false" customHeight="false" outlineLevel="0" collapsed="false">
      <c r="F11" s="30" t="n">
        <v>800</v>
      </c>
    </row>
    <row r="12" customFormat="false" ht="15" hidden="false" customHeight="false" outlineLevel="0" collapsed="false">
      <c r="F12" s="30" t="n">
        <v>1000</v>
      </c>
    </row>
    <row r="13" customFormat="false" ht="15" hidden="false" customHeight="false" outlineLevel="0" collapsed="false">
      <c r="F13" s="30" t="n">
        <v>1200</v>
      </c>
    </row>
    <row r="14" customFormat="false" ht="15" hidden="false" customHeight="false" outlineLevel="0" collapsed="false">
      <c r="F14" s="30" t="n">
        <v>1600</v>
      </c>
    </row>
    <row r="15" customFormat="false" ht="15" hidden="false" customHeight="false" outlineLevel="0" collapsed="false">
      <c r="F15" s="30" t="n"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2026-10-02T17:20:00Z</dcterms:created>
  <dc:creator>openpyxl</dc:creator>
  <dc:description/>
  <dc:language>en-US</dc:language>
  <cp:lastModifiedBy/>
  <dcterms:modified xsi:type="dcterms:W3CDTF">2026-10-02T17:20:00Z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